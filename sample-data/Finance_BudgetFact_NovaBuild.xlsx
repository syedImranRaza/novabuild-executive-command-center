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_Fact" sheetId="1" state="visible" r:id="rId3"/>
  </sheets>
  <definedNames>
    <definedName function="false" hidden="true" localSheetId="0" name="_xlnm._FilterDatabase" vbProcedure="false">Budget_Fact!$A$1:$H$46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<sst xmlns="http://schemas.openxmlformats.org/spreadsheetml/2006/main" count="188" uniqueCount="75">
  <si>
    <t xml:space="preserve">BudgetID</t>
  </si>
  <si>
    <t xml:space="preserve">ProjectID</t>
  </si>
  <si>
    <t xml:space="preserve">DepartmentID</t>
  </si>
  <si>
    <t xml:space="preserve">FiscalMonth</t>
  </si>
  <si>
    <t xml:space="preserve">BudgetAmount</t>
  </si>
  <si>
    <t xml:space="preserve">ForecastAmount</t>
  </si>
  <si>
    <t xml:space="preserve">ActualAmount</t>
  </si>
  <si>
    <t xml:space="preserve">VarianceAmount</t>
  </si>
  <si>
    <t xml:space="preserve">B001</t>
  </si>
  <si>
    <t xml:space="preserve">PRJ001</t>
  </si>
  <si>
    <t xml:space="preserve">DEPT-OPS</t>
  </si>
  <si>
    <t xml:space="preserve">2026-01</t>
  </si>
  <si>
    <t xml:space="preserve">B002</t>
  </si>
  <si>
    <t xml:space="preserve">PRJ002</t>
  </si>
  <si>
    <t xml:space="preserve">DEPT-ENG</t>
  </si>
  <si>
    <t xml:space="preserve">B003</t>
  </si>
  <si>
    <t xml:space="preserve">PRJ003</t>
  </si>
  <si>
    <t xml:space="preserve">B004</t>
  </si>
  <si>
    <t xml:space="preserve">PRJ004</t>
  </si>
  <si>
    <t xml:space="preserve">B005</t>
  </si>
  <si>
    <t xml:space="preserve">PRJ005</t>
  </si>
  <si>
    <t xml:space="preserve">B006</t>
  </si>
  <si>
    <t xml:space="preserve">PRJ006</t>
  </si>
  <si>
    <t xml:space="preserve">B007</t>
  </si>
  <si>
    <t xml:space="preserve">PRJ007</t>
  </si>
  <si>
    <t xml:space="preserve">B008</t>
  </si>
  <si>
    <t xml:space="preserve">PRJ008</t>
  </si>
  <si>
    <t xml:space="preserve">DEPT-PROC</t>
  </si>
  <si>
    <t xml:space="preserve">B009</t>
  </si>
  <si>
    <t xml:space="preserve">PRJ009</t>
  </si>
  <si>
    <t xml:space="preserve">B010</t>
  </si>
  <si>
    <t xml:space="preserve">PRJ010</t>
  </si>
  <si>
    <t xml:space="preserve">B011</t>
  </si>
  <si>
    <t xml:space="preserve">PRJ011</t>
  </si>
  <si>
    <t xml:space="preserve">B012</t>
  </si>
  <si>
    <t xml:space="preserve">PRJ012</t>
  </si>
  <si>
    <t xml:space="preserve">B013</t>
  </si>
  <si>
    <t xml:space="preserve">PRJ013</t>
  </si>
  <si>
    <t xml:space="preserve">B014</t>
  </si>
  <si>
    <t xml:space="preserve">PRJ014</t>
  </si>
  <si>
    <t xml:space="preserve">DEPT-FIN</t>
  </si>
  <si>
    <t xml:space="preserve">B015</t>
  </si>
  <si>
    <t xml:space="preserve">PRJ015</t>
  </si>
  <si>
    <t xml:space="preserve">B016</t>
  </si>
  <si>
    <t xml:space="preserve">2026-02</t>
  </si>
  <si>
    <t xml:space="preserve">B017</t>
  </si>
  <si>
    <t xml:space="preserve">B018</t>
  </si>
  <si>
    <t xml:space="preserve">B019</t>
  </si>
  <si>
    <t xml:space="preserve">B020</t>
  </si>
  <si>
    <t xml:space="preserve">B021</t>
  </si>
  <si>
    <t xml:space="preserve">B022</t>
  </si>
  <si>
    <t xml:space="preserve">B023</t>
  </si>
  <si>
    <t xml:space="preserve">B024</t>
  </si>
  <si>
    <t xml:space="preserve">B025</t>
  </si>
  <si>
    <t xml:space="preserve">B026</t>
  </si>
  <si>
    <t xml:space="preserve">B027</t>
  </si>
  <si>
    <t xml:space="preserve">B028</t>
  </si>
  <si>
    <t xml:space="preserve">B029</t>
  </si>
  <si>
    <t xml:space="preserve">B030</t>
  </si>
  <si>
    <t xml:space="preserve">B031</t>
  </si>
  <si>
    <t xml:space="preserve">2026-03</t>
  </si>
  <si>
    <t xml:space="preserve">B032</t>
  </si>
  <si>
    <t xml:space="preserve">B033</t>
  </si>
  <si>
    <t xml:space="preserve">B034</t>
  </si>
  <si>
    <t xml:space="preserve">B035</t>
  </si>
  <si>
    <t xml:space="preserve">B036</t>
  </si>
  <si>
    <t xml:space="preserve">B037</t>
  </si>
  <si>
    <t xml:space="preserve">B038</t>
  </si>
  <si>
    <t xml:space="preserve">B039</t>
  </si>
  <si>
    <t xml:space="preserve">B040</t>
  </si>
  <si>
    <t xml:space="preserve">B041</t>
  </si>
  <si>
    <t xml:space="preserve">B042</t>
  </si>
  <si>
    <t xml:space="preserve">B043</t>
  </si>
  <si>
    <t xml:space="preserve">B044</t>
  </si>
  <si>
    <t xml:space="preserve">B045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</si>
</sst>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;\(#,##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n">
        <v>792000</v>
      </c>
      <c r="F2" s="3" t="n">
        <v>872467</v>
      </c>
      <c r="G2" s="3" t="n">
        <v>855360</v>
      </c>
      <c r="H2" s="4" t="n">
        <f aca="false">G2-E2</f>
        <v>63360</v>
      </c>
    </row>
    <row r="3" customFormat="false" ht="1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11</v>
      </c>
      <c r="E3" s="6" t="n">
        <v>583000</v>
      </c>
      <c r="F3" s="6" t="n">
        <v>553034</v>
      </c>
      <c r="G3" s="6" t="n">
        <v>542190</v>
      </c>
      <c r="H3" s="7" t="n">
        <f aca="false">G3-E3</f>
        <v>-40810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10</v>
      </c>
      <c r="D4" s="2" t="s">
        <v>11</v>
      </c>
      <c r="E4" s="3" t="n">
        <v>425000</v>
      </c>
      <c r="F4" s="3" t="n">
        <v>498525</v>
      </c>
      <c r="G4" s="3" t="n">
        <v>488750</v>
      </c>
      <c r="H4" s="4" t="n">
        <f aca="false">G4-E4</f>
        <v>63750</v>
      </c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14</v>
      </c>
      <c r="D5" s="5" t="s">
        <v>11</v>
      </c>
      <c r="E5" s="6" t="n">
        <v>1000000</v>
      </c>
      <c r="F5" s="6" t="n">
        <v>999600</v>
      </c>
      <c r="G5" s="6" t="n">
        <v>980000</v>
      </c>
      <c r="H5" s="7" t="n">
        <f aca="false">G5-E5</f>
        <v>-20000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10</v>
      </c>
      <c r="D6" s="2" t="s">
        <v>11</v>
      </c>
      <c r="E6" s="3" t="n">
        <v>1233000</v>
      </c>
      <c r="F6" s="3" t="n">
        <v>1370849</v>
      </c>
      <c r="G6" s="3" t="n">
        <v>1343970</v>
      </c>
      <c r="H6" s="4" t="n">
        <f aca="false">G6-E6</f>
        <v>110970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14</v>
      </c>
      <c r="D7" s="5" t="s">
        <v>11</v>
      </c>
      <c r="E7" s="6" t="n">
        <v>650000</v>
      </c>
      <c r="F7" s="6" t="n">
        <v>689520</v>
      </c>
      <c r="G7" s="6" t="n">
        <v>676000</v>
      </c>
      <c r="H7" s="8" t="n">
        <f aca="false">G7-E7</f>
        <v>26000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10</v>
      </c>
      <c r="D8" s="2" t="s">
        <v>11</v>
      </c>
      <c r="E8" s="3" t="n">
        <v>1733000</v>
      </c>
      <c r="F8" s="3" t="n">
        <v>1696954</v>
      </c>
      <c r="G8" s="3" t="n">
        <v>1663680</v>
      </c>
      <c r="H8" s="9" t="n">
        <f aca="false">G8-E8</f>
        <v>-69320</v>
      </c>
    </row>
    <row r="9" customFormat="false" ht="15" hidden="false" customHeight="false" outlineLevel="0" collapsed="false">
      <c r="A9" s="5" t="s">
        <v>25</v>
      </c>
      <c r="B9" s="5" t="s">
        <v>26</v>
      </c>
      <c r="C9" s="5" t="s">
        <v>27</v>
      </c>
      <c r="D9" s="5" t="s">
        <v>11</v>
      </c>
      <c r="E9" s="6" t="n">
        <v>433000</v>
      </c>
      <c r="F9" s="6" t="n">
        <v>472576</v>
      </c>
      <c r="G9" s="6" t="n">
        <v>463310</v>
      </c>
      <c r="H9" s="8" t="n">
        <f aca="false">G9-E9</f>
        <v>30310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14</v>
      </c>
      <c r="D10" s="2" t="s">
        <v>11</v>
      </c>
      <c r="E10" s="3" t="n">
        <v>2333000</v>
      </c>
      <c r="F10" s="3" t="n">
        <v>2308270</v>
      </c>
      <c r="G10" s="3" t="n">
        <v>2263010</v>
      </c>
      <c r="H10" s="9" t="n">
        <f aca="false">G10-E10</f>
        <v>-69990</v>
      </c>
    </row>
    <row r="11" customFormat="false" ht="15" hidden="false" customHeight="false" outlineLevel="0" collapsed="false">
      <c r="A11" s="5" t="s">
        <v>30</v>
      </c>
      <c r="B11" s="5" t="s">
        <v>31</v>
      </c>
      <c r="C11" s="5" t="s">
        <v>14</v>
      </c>
      <c r="D11" s="5" t="s">
        <v>11</v>
      </c>
      <c r="E11" s="6" t="n">
        <v>783000</v>
      </c>
      <c r="F11" s="6" t="n">
        <v>758727</v>
      </c>
      <c r="G11" s="6" t="n">
        <v>743850</v>
      </c>
      <c r="H11" s="7" t="n">
        <f aca="false">G11-E11</f>
        <v>-39150</v>
      </c>
    </row>
    <row r="12" customFormat="false" ht="15" hidden="false" customHeight="false" outlineLevel="0" collapsed="false">
      <c r="A12" s="2" t="s">
        <v>32</v>
      </c>
      <c r="B12" s="2" t="s">
        <v>33</v>
      </c>
      <c r="C12" s="2" t="s">
        <v>10</v>
      </c>
      <c r="D12" s="2" t="s">
        <v>11</v>
      </c>
      <c r="E12" s="3" t="n">
        <v>5466000</v>
      </c>
      <c r="F12" s="3" t="n">
        <v>5909839</v>
      </c>
      <c r="G12" s="3" t="n">
        <v>5793960</v>
      </c>
      <c r="H12" s="4" t="n">
        <f aca="false">G12-E12</f>
        <v>327960</v>
      </c>
    </row>
    <row r="13" customFormat="false" ht="15" hidden="false" customHeight="false" outlineLevel="0" collapsed="false">
      <c r="A13" s="5" t="s">
        <v>34</v>
      </c>
      <c r="B13" s="5" t="s">
        <v>35</v>
      </c>
      <c r="C13" s="5" t="s">
        <v>10</v>
      </c>
      <c r="D13" s="5" t="s">
        <v>11</v>
      </c>
      <c r="E13" s="6" t="n">
        <v>373000</v>
      </c>
      <c r="F13" s="6" t="n">
        <v>376655</v>
      </c>
      <c r="G13" s="6" t="n">
        <v>369270</v>
      </c>
      <c r="H13" s="7" t="n">
        <f aca="false">G13-E13</f>
        <v>-3730</v>
      </c>
    </row>
    <row r="14" customFormat="false" ht="15" hidden="false" customHeight="false" outlineLevel="0" collapsed="false">
      <c r="A14" s="2" t="s">
        <v>36</v>
      </c>
      <c r="B14" s="2" t="s">
        <v>37</v>
      </c>
      <c r="C14" s="2" t="s">
        <v>14</v>
      </c>
      <c r="D14" s="2" t="s">
        <v>11</v>
      </c>
      <c r="E14" s="3" t="n">
        <v>3733000</v>
      </c>
      <c r="F14" s="3" t="n">
        <v>3579200</v>
      </c>
      <c r="G14" s="3" t="n">
        <v>3509020</v>
      </c>
      <c r="H14" s="9" t="n">
        <f aca="false">G14-E14</f>
        <v>-223980</v>
      </c>
    </row>
    <row r="15" customFormat="false" ht="15" hidden="false" customHeight="false" outlineLevel="0" collapsed="false">
      <c r="A15" s="5" t="s">
        <v>38</v>
      </c>
      <c r="B15" s="5" t="s">
        <v>39</v>
      </c>
      <c r="C15" s="5" t="s">
        <v>40</v>
      </c>
      <c r="D15" s="5" t="s">
        <v>11</v>
      </c>
      <c r="E15" s="6" t="n">
        <v>1083000</v>
      </c>
      <c r="F15" s="6" t="n">
        <v>1193033</v>
      </c>
      <c r="G15" s="6" t="n">
        <v>1169640</v>
      </c>
      <c r="H15" s="8" t="n">
        <f aca="false">G15-E15</f>
        <v>86640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2" t="s">
        <v>27</v>
      </c>
      <c r="D16" s="2" t="s">
        <v>11</v>
      </c>
      <c r="E16" s="3" t="n">
        <v>625000</v>
      </c>
      <c r="F16" s="3" t="n">
        <v>650250</v>
      </c>
      <c r="G16" s="3" t="n">
        <v>637500</v>
      </c>
      <c r="H16" s="4" t="n">
        <f aca="false">G16-E16</f>
        <v>12500</v>
      </c>
    </row>
    <row r="17" customFormat="false" ht="15" hidden="false" customHeight="false" outlineLevel="0" collapsed="false">
      <c r="A17" s="5" t="s">
        <v>43</v>
      </c>
      <c r="B17" s="5" t="s">
        <v>9</v>
      </c>
      <c r="C17" s="5" t="s">
        <v>10</v>
      </c>
      <c r="D17" s="5" t="s">
        <v>44</v>
      </c>
      <c r="E17" s="6" t="n">
        <v>799920</v>
      </c>
      <c r="F17" s="6" t="n">
        <v>872553</v>
      </c>
      <c r="G17" s="6" t="n">
        <v>872553</v>
      </c>
      <c r="H17" s="8" t="n">
        <f aca="false">G17-E17</f>
        <v>72633</v>
      </c>
    </row>
    <row r="18" customFormat="false" ht="15" hidden="false" customHeight="false" outlineLevel="0" collapsed="false">
      <c r="A18" s="2" t="s">
        <v>45</v>
      </c>
      <c r="B18" s="2" t="s">
        <v>13</v>
      </c>
      <c r="C18" s="2" t="s">
        <v>14</v>
      </c>
      <c r="D18" s="2" t="s">
        <v>44</v>
      </c>
      <c r="E18" s="3" t="n">
        <v>588830</v>
      </c>
      <c r="F18" s="3" t="n">
        <v>553088</v>
      </c>
      <c r="G18" s="3" t="n">
        <v>553088</v>
      </c>
      <c r="H18" s="9" t="n">
        <f aca="false">G18-E18</f>
        <v>-35742</v>
      </c>
    </row>
    <row r="19" customFormat="false" ht="15" hidden="false" customHeight="false" outlineLevel="0" collapsed="false">
      <c r="A19" s="5" t="s">
        <v>46</v>
      </c>
      <c r="B19" s="5" t="s">
        <v>16</v>
      </c>
      <c r="C19" s="5" t="s">
        <v>10</v>
      </c>
      <c r="D19" s="5" t="s">
        <v>44</v>
      </c>
      <c r="E19" s="6" t="n">
        <v>429250</v>
      </c>
      <c r="F19" s="6" t="n">
        <v>498574</v>
      </c>
      <c r="G19" s="6" t="n">
        <v>498574</v>
      </c>
      <c r="H19" s="8" t="n">
        <f aca="false">G19-E19</f>
        <v>69324</v>
      </c>
    </row>
    <row r="20" customFormat="false" ht="15" hidden="false" customHeight="false" outlineLevel="0" collapsed="false">
      <c r="A20" s="2" t="s">
        <v>47</v>
      </c>
      <c r="B20" s="2" t="s">
        <v>18</v>
      </c>
      <c r="C20" s="2" t="s">
        <v>14</v>
      </c>
      <c r="D20" s="2" t="s">
        <v>44</v>
      </c>
      <c r="E20" s="3" t="n">
        <v>1010000</v>
      </c>
      <c r="F20" s="3" t="n">
        <v>999698</v>
      </c>
      <c r="G20" s="3" t="n">
        <v>999698</v>
      </c>
      <c r="H20" s="9" t="n">
        <f aca="false">G20-E20</f>
        <v>-10302</v>
      </c>
    </row>
    <row r="21" customFormat="false" ht="15" hidden="false" customHeight="false" outlineLevel="0" collapsed="false">
      <c r="A21" s="5" t="s">
        <v>48</v>
      </c>
      <c r="B21" s="5" t="s">
        <v>20</v>
      </c>
      <c r="C21" s="5" t="s">
        <v>10</v>
      </c>
      <c r="D21" s="5" t="s">
        <v>44</v>
      </c>
      <c r="E21" s="6" t="n">
        <v>1245330</v>
      </c>
      <c r="F21" s="6" t="n">
        <v>1370984</v>
      </c>
      <c r="G21" s="6" t="n">
        <v>1370984</v>
      </c>
      <c r="H21" s="8" t="n">
        <f aca="false">G21-E21</f>
        <v>125654</v>
      </c>
    </row>
    <row r="22" customFormat="false" ht="15" hidden="false" customHeight="false" outlineLevel="0" collapsed="false">
      <c r="A22" s="2" t="s">
        <v>49</v>
      </c>
      <c r="B22" s="2" t="s">
        <v>22</v>
      </c>
      <c r="C22" s="2" t="s">
        <v>14</v>
      </c>
      <c r="D22" s="2" t="s">
        <v>44</v>
      </c>
      <c r="E22" s="3" t="n">
        <v>656500</v>
      </c>
      <c r="F22" s="3" t="n">
        <v>689588</v>
      </c>
      <c r="G22" s="3" t="n">
        <v>689588</v>
      </c>
      <c r="H22" s="4" t="n">
        <f aca="false">G22-E22</f>
        <v>33088</v>
      </c>
    </row>
    <row r="23" customFormat="false" ht="15" hidden="false" customHeight="false" outlineLevel="0" collapsed="false">
      <c r="A23" s="5" t="s">
        <v>50</v>
      </c>
      <c r="B23" s="5" t="s">
        <v>24</v>
      </c>
      <c r="C23" s="5" t="s">
        <v>10</v>
      </c>
      <c r="D23" s="5" t="s">
        <v>44</v>
      </c>
      <c r="E23" s="6" t="n">
        <v>1750330</v>
      </c>
      <c r="F23" s="6" t="n">
        <v>1697120</v>
      </c>
      <c r="G23" s="6" t="n">
        <v>1697120</v>
      </c>
      <c r="H23" s="7" t="n">
        <f aca="false">G23-E23</f>
        <v>-53210</v>
      </c>
    </row>
    <row r="24" customFormat="false" ht="15" hidden="false" customHeight="false" outlineLevel="0" collapsed="false">
      <c r="A24" s="2" t="s">
        <v>51</v>
      </c>
      <c r="B24" s="2" t="s">
        <v>26</v>
      </c>
      <c r="C24" s="2" t="s">
        <v>27</v>
      </c>
      <c r="D24" s="2" t="s">
        <v>44</v>
      </c>
      <c r="E24" s="3" t="n">
        <v>437330</v>
      </c>
      <c r="F24" s="3" t="n">
        <v>472623</v>
      </c>
      <c r="G24" s="3" t="n">
        <v>472623</v>
      </c>
      <c r="H24" s="4" t="n">
        <f aca="false">G24-E24</f>
        <v>35293</v>
      </c>
    </row>
    <row r="25" customFormat="false" ht="15" hidden="false" customHeight="false" outlineLevel="0" collapsed="false">
      <c r="A25" s="5" t="s">
        <v>52</v>
      </c>
      <c r="B25" s="5" t="s">
        <v>29</v>
      </c>
      <c r="C25" s="5" t="s">
        <v>14</v>
      </c>
      <c r="D25" s="5" t="s">
        <v>44</v>
      </c>
      <c r="E25" s="6" t="n">
        <v>2356330</v>
      </c>
      <c r="F25" s="6" t="n">
        <v>2308497</v>
      </c>
      <c r="G25" s="6" t="n">
        <v>2308497</v>
      </c>
      <c r="H25" s="7" t="n">
        <f aca="false">G25-E25</f>
        <v>-47833</v>
      </c>
    </row>
    <row r="26" customFormat="false" ht="15" hidden="false" customHeight="false" outlineLevel="0" collapsed="false">
      <c r="A26" s="2" t="s">
        <v>53</v>
      </c>
      <c r="B26" s="2" t="s">
        <v>31</v>
      </c>
      <c r="C26" s="2" t="s">
        <v>14</v>
      </c>
      <c r="D26" s="2" t="s">
        <v>44</v>
      </c>
      <c r="E26" s="3" t="n">
        <v>790830</v>
      </c>
      <c r="F26" s="3" t="n">
        <v>758801</v>
      </c>
      <c r="G26" s="3" t="n">
        <v>758801</v>
      </c>
      <c r="H26" s="9" t="n">
        <f aca="false">G26-E26</f>
        <v>-32029</v>
      </c>
    </row>
    <row r="27" customFormat="false" ht="15" hidden="false" customHeight="false" outlineLevel="0" collapsed="false">
      <c r="A27" s="5" t="s">
        <v>54</v>
      </c>
      <c r="B27" s="5" t="s">
        <v>33</v>
      </c>
      <c r="C27" s="5" t="s">
        <v>10</v>
      </c>
      <c r="D27" s="5" t="s">
        <v>44</v>
      </c>
      <c r="E27" s="6" t="n">
        <v>5520660</v>
      </c>
      <c r="F27" s="6" t="n">
        <v>5910419</v>
      </c>
      <c r="G27" s="6" t="n">
        <v>5910419</v>
      </c>
      <c r="H27" s="8" t="n">
        <f aca="false">G27-E27</f>
        <v>389759</v>
      </c>
    </row>
    <row r="28" customFormat="false" ht="15" hidden="false" customHeight="false" outlineLevel="0" collapsed="false">
      <c r="A28" s="2" t="s">
        <v>55</v>
      </c>
      <c r="B28" s="2" t="s">
        <v>35</v>
      </c>
      <c r="C28" s="2" t="s">
        <v>10</v>
      </c>
      <c r="D28" s="2" t="s">
        <v>44</v>
      </c>
      <c r="E28" s="3" t="n">
        <v>376730</v>
      </c>
      <c r="F28" s="3" t="n">
        <v>376692</v>
      </c>
      <c r="G28" s="3" t="n">
        <v>376692</v>
      </c>
      <c r="H28" s="9" t="n">
        <f aca="false">G28-E28</f>
        <v>-38</v>
      </c>
    </row>
    <row r="29" customFormat="false" ht="15" hidden="false" customHeight="false" outlineLevel="0" collapsed="false">
      <c r="A29" s="5" t="s">
        <v>56</v>
      </c>
      <c r="B29" s="5" t="s">
        <v>37</v>
      </c>
      <c r="C29" s="5" t="s">
        <v>14</v>
      </c>
      <c r="D29" s="5" t="s">
        <v>44</v>
      </c>
      <c r="E29" s="6" t="n">
        <v>3770330</v>
      </c>
      <c r="F29" s="6" t="n">
        <v>3579551</v>
      </c>
      <c r="G29" s="6" t="n">
        <v>3579551</v>
      </c>
      <c r="H29" s="7" t="n">
        <f aca="false">G29-E29</f>
        <v>-190779</v>
      </c>
    </row>
    <row r="30" customFormat="false" ht="15" hidden="false" customHeight="false" outlineLevel="0" collapsed="false">
      <c r="A30" s="2" t="s">
        <v>57</v>
      </c>
      <c r="B30" s="2" t="s">
        <v>39</v>
      </c>
      <c r="C30" s="2" t="s">
        <v>40</v>
      </c>
      <c r="D30" s="2" t="s">
        <v>44</v>
      </c>
      <c r="E30" s="3" t="n">
        <v>1093830</v>
      </c>
      <c r="F30" s="3" t="n">
        <v>1193150</v>
      </c>
      <c r="G30" s="3" t="n">
        <v>1193150</v>
      </c>
      <c r="H30" s="4" t="n">
        <f aca="false">G30-E30</f>
        <v>99320</v>
      </c>
    </row>
    <row r="31" customFormat="false" ht="15" hidden="false" customHeight="false" outlineLevel="0" collapsed="false">
      <c r="A31" s="5" t="s">
        <v>58</v>
      </c>
      <c r="B31" s="5" t="s">
        <v>42</v>
      </c>
      <c r="C31" s="5" t="s">
        <v>27</v>
      </c>
      <c r="D31" s="5" t="s">
        <v>44</v>
      </c>
      <c r="E31" s="6" t="n">
        <v>631250</v>
      </c>
      <c r="F31" s="6" t="n">
        <v>650314</v>
      </c>
      <c r="G31" s="6" t="n">
        <v>650314</v>
      </c>
      <c r="H31" s="8" t="n">
        <f aca="false">G31-E31</f>
        <v>19064</v>
      </c>
    </row>
    <row r="32" customFormat="false" ht="15" hidden="false" customHeight="false" outlineLevel="0" collapsed="false">
      <c r="A32" s="2" t="s">
        <v>59</v>
      </c>
      <c r="B32" s="2" t="s">
        <v>9</v>
      </c>
      <c r="C32" s="2" t="s">
        <v>10</v>
      </c>
      <c r="D32" s="2" t="s">
        <v>60</v>
      </c>
      <c r="E32" s="3" t="n">
        <v>807840</v>
      </c>
      <c r="F32" s="3" t="n">
        <v>898641</v>
      </c>
      <c r="G32" s="3" t="n">
        <v>863743</v>
      </c>
      <c r="H32" s="4" t="n">
        <f aca="false">G32-E32</f>
        <v>55903</v>
      </c>
    </row>
    <row r="33" customFormat="false" ht="15" hidden="false" customHeight="false" outlineLevel="0" collapsed="false">
      <c r="A33" s="5" t="s">
        <v>61</v>
      </c>
      <c r="B33" s="5" t="s">
        <v>13</v>
      </c>
      <c r="C33" s="5" t="s">
        <v>14</v>
      </c>
      <c r="D33" s="5" t="s">
        <v>60</v>
      </c>
      <c r="E33" s="6" t="n">
        <v>594660</v>
      </c>
      <c r="F33" s="6" t="n">
        <v>569625</v>
      </c>
      <c r="G33" s="6" t="n">
        <v>547503</v>
      </c>
      <c r="H33" s="7" t="n">
        <f aca="false">G33-E33</f>
        <v>-47157</v>
      </c>
    </row>
    <row r="34" customFormat="false" ht="15" hidden="false" customHeight="false" outlineLevel="0" collapsed="false">
      <c r="A34" s="2" t="s">
        <v>62</v>
      </c>
      <c r="B34" s="2" t="s">
        <v>16</v>
      </c>
      <c r="C34" s="2" t="s">
        <v>10</v>
      </c>
      <c r="D34" s="2" t="s">
        <v>60</v>
      </c>
      <c r="E34" s="3" t="n">
        <v>433500</v>
      </c>
      <c r="F34" s="3" t="n">
        <v>513481</v>
      </c>
      <c r="G34" s="3" t="n">
        <v>493540</v>
      </c>
      <c r="H34" s="4" t="n">
        <f aca="false">G34-E34</f>
        <v>60040</v>
      </c>
    </row>
    <row r="35" customFormat="false" ht="15" hidden="false" customHeight="false" outlineLevel="0" collapsed="false">
      <c r="A35" s="5" t="s">
        <v>63</v>
      </c>
      <c r="B35" s="5" t="s">
        <v>18</v>
      </c>
      <c r="C35" s="5" t="s">
        <v>14</v>
      </c>
      <c r="D35" s="5" t="s">
        <v>60</v>
      </c>
      <c r="E35" s="6" t="n">
        <v>1020000</v>
      </c>
      <c r="F35" s="6" t="n">
        <v>1029588</v>
      </c>
      <c r="G35" s="6" t="n">
        <v>989604</v>
      </c>
      <c r="H35" s="7" t="n">
        <f aca="false">G35-E35</f>
        <v>-30396</v>
      </c>
    </row>
    <row r="36" customFormat="false" ht="15" hidden="false" customHeight="false" outlineLevel="0" collapsed="false">
      <c r="A36" s="2" t="s">
        <v>64</v>
      </c>
      <c r="B36" s="2" t="s">
        <v>20</v>
      </c>
      <c r="C36" s="2" t="s">
        <v>10</v>
      </c>
      <c r="D36" s="2" t="s">
        <v>60</v>
      </c>
      <c r="E36" s="3" t="n">
        <v>1257660</v>
      </c>
      <c r="F36" s="3" t="n">
        <v>1411975</v>
      </c>
      <c r="G36" s="3" t="n">
        <v>1357141</v>
      </c>
      <c r="H36" s="4" t="n">
        <f aca="false">G36-E36</f>
        <v>99481</v>
      </c>
    </row>
    <row r="37" customFormat="false" ht="15" hidden="false" customHeight="false" outlineLevel="0" collapsed="false">
      <c r="A37" s="5" t="s">
        <v>65</v>
      </c>
      <c r="B37" s="5" t="s">
        <v>22</v>
      </c>
      <c r="C37" s="5" t="s">
        <v>14</v>
      </c>
      <c r="D37" s="5" t="s">
        <v>60</v>
      </c>
      <c r="E37" s="6" t="n">
        <v>663000</v>
      </c>
      <c r="F37" s="6" t="n">
        <v>710206</v>
      </c>
      <c r="G37" s="6" t="n">
        <v>682625</v>
      </c>
      <c r="H37" s="8" t="n">
        <f aca="false">G37-E37</f>
        <v>19625</v>
      </c>
    </row>
    <row r="38" customFormat="false" ht="15" hidden="false" customHeight="false" outlineLevel="0" collapsed="false">
      <c r="A38" s="2" t="s">
        <v>66</v>
      </c>
      <c r="B38" s="2" t="s">
        <v>24</v>
      </c>
      <c r="C38" s="2" t="s">
        <v>10</v>
      </c>
      <c r="D38" s="2" t="s">
        <v>60</v>
      </c>
      <c r="E38" s="3" t="n">
        <v>1767660</v>
      </c>
      <c r="F38" s="3" t="n">
        <v>1747862</v>
      </c>
      <c r="G38" s="3" t="n">
        <v>1679984</v>
      </c>
      <c r="H38" s="9" t="n">
        <f aca="false">G38-E38</f>
        <v>-87676</v>
      </c>
    </row>
    <row r="39" customFormat="false" ht="15" hidden="false" customHeight="false" outlineLevel="0" collapsed="false">
      <c r="A39" s="5" t="s">
        <v>67</v>
      </c>
      <c r="B39" s="5" t="s">
        <v>26</v>
      </c>
      <c r="C39" s="5" t="s">
        <v>27</v>
      </c>
      <c r="D39" s="5" t="s">
        <v>60</v>
      </c>
      <c r="E39" s="6" t="n">
        <v>441660</v>
      </c>
      <c r="F39" s="6" t="n">
        <v>486753</v>
      </c>
      <c r="G39" s="6" t="n">
        <v>467850</v>
      </c>
      <c r="H39" s="8" t="n">
        <f aca="false">G39-E39</f>
        <v>26190</v>
      </c>
    </row>
    <row r="40" customFormat="false" ht="15" hidden="false" customHeight="false" outlineLevel="0" collapsed="false">
      <c r="A40" s="2" t="s">
        <v>68</v>
      </c>
      <c r="B40" s="2" t="s">
        <v>29</v>
      </c>
      <c r="C40" s="2" t="s">
        <v>14</v>
      </c>
      <c r="D40" s="2" t="s">
        <v>60</v>
      </c>
      <c r="E40" s="3" t="n">
        <v>2379660</v>
      </c>
      <c r="F40" s="3" t="n">
        <v>2377518</v>
      </c>
      <c r="G40" s="3" t="n">
        <v>2285187</v>
      </c>
      <c r="H40" s="9" t="n">
        <f aca="false">G40-E40</f>
        <v>-94473</v>
      </c>
    </row>
    <row r="41" customFormat="false" ht="15" hidden="false" customHeight="false" outlineLevel="0" collapsed="false">
      <c r="A41" s="5" t="s">
        <v>69</v>
      </c>
      <c r="B41" s="5" t="s">
        <v>31</v>
      </c>
      <c r="C41" s="5" t="s">
        <v>14</v>
      </c>
      <c r="D41" s="5" t="s">
        <v>60</v>
      </c>
      <c r="E41" s="6" t="n">
        <v>798660</v>
      </c>
      <c r="F41" s="6" t="n">
        <v>781489</v>
      </c>
      <c r="G41" s="6" t="n">
        <v>751140</v>
      </c>
      <c r="H41" s="7" t="n">
        <f aca="false">G41-E41</f>
        <v>-47520</v>
      </c>
    </row>
    <row r="42" customFormat="false" ht="15" hidden="false" customHeight="false" outlineLevel="0" collapsed="false">
      <c r="A42" s="2" t="s">
        <v>70</v>
      </c>
      <c r="B42" s="2" t="s">
        <v>33</v>
      </c>
      <c r="C42" s="2" t="s">
        <v>10</v>
      </c>
      <c r="D42" s="2" t="s">
        <v>60</v>
      </c>
      <c r="E42" s="3" t="n">
        <v>5575320</v>
      </c>
      <c r="F42" s="3" t="n">
        <v>6087134</v>
      </c>
      <c r="G42" s="3" t="n">
        <v>5850741</v>
      </c>
      <c r="H42" s="4" t="n">
        <f aca="false">G42-E42</f>
        <v>275421</v>
      </c>
    </row>
    <row r="43" customFormat="false" ht="15" hidden="false" customHeight="false" outlineLevel="0" collapsed="false">
      <c r="A43" s="5" t="s">
        <v>71</v>
      </c>
      <c r="B43" s="5" t="s">
        <v>35</v>
      </c>
      <c r="C43" s="5" t="s">
        <v>10</v>
      </c>
      <c r="D43" s="5" t="s">
        <v>60</v>
      </c>
      <c r="E43" s="6" t="n">
        <v>380460</v>
      </c>
      <c r="F43" s="6" t="n">
        <v>387955</v>
      </c>
      <c r="G43" s="6" t="n">
        <v>372889</v>
      </c>
      <c r="H43" s="7" t="n">
        <f aca="false">G43-E43</f>
        <v>-7571</v>
      </c>
    </row>
    <row r="44" customFormat="false" ht="15" hidden="false" customHeight="false" outlineLevel="0" collapsed="false">
      <c r="A44" s="2" t="s">
        <v>72</v>
      </c>
      <c r="B44" s="2" t="s">
        <v>37</v>
      </c>
      <c r="C44" s="2" t="s">
        <v>14</v>
      </c>
      <c r="D44" s="2" t="s">
        <v>60</v>
      </c>
      <c r="E44" s="3" t="n">
        <v>3807660</v>
      </c>
      <c r="F44" s="3" t="n">
        <v>3686576</v>
      </c>
      <c r="G44" s="3" t="n">
        <v>3543408</v>
      </c>
      <c r="H44" s="9" t="n">
        <f aca="false">G44-E44</f>
        <v>-264252</v>
      </c>
    </row>
    <row r="45" customFormat="false" ht="15" hidden="false" customHeight="false" outlineLevel="0" collapsed="false">
      <c r="A45" s="5" t="s">
        <v>73</v>
      </c>
      <c r="B45" s="5" t="s">
        <v>39</v>
      </c>
      <c r="C45" s="5" t="s">
        <v>40</v>
      </c>
      <c r="D45" s="5" t="s">
        <v>60</v>
      </c>
      <c r="E45" s="6" t="n">
        <v>1104660</v>
      </c>
      <c r="F45" s="6" t="n">
        <v>1228824</v>
      </c>
      <c r="G45" s="6" t="n">
        <v>1181102</v>
      </c>
      <c r="H45" s="8" t="n">
        <f aca="false">G45-E45</f>
        <v>76442</v>
      </c>
    </row>
    <row r="46" customFormat="false" ht="15" hidden="false" customHeight="false" outlineLevel="0" collapsed="false">
      <c r="A46" s="2" t="s">
        <v>74</v>
      </c>
      <c r="B46" s="2" t="s">
        <v>42</v>
      </c>
      <c r="C46" s="2" t="s">
        <v>27</v>
      </c>
      <c r="D46" s="2" t="s">
        <v>60</v>
      </c>
      <c r="E46" s="3" t="n">
        <v>637500</v>
      </c>
      <c r="F46" s="3" t="n">
        <v>669758</v>
      </c>
      <c r="G46" s="3" t="n">
        <v>643748</v>
      </c>
      <c r="H46" s="4" t="n">
        <f aca="false">G46-E46</f>
        <v>6248</v>
      </c>
    </row>
  </sheetData>
  <autoFilter ref="A1:H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2026-05-17T11:55:08Z</dcterms:created>
  <dc:creator>openpyxl</dc:creator>
  <dc:description/>
  <dc:language>en-US</dc:language>
  <cp:lastModifiedBy/>
  <dcterms:modified xsi:type="dcterms:W3CDTF">2026-05-17T11:55:08Z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