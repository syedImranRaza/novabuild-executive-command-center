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Orders" sheetId="1" state="visible" r:id="rId3"/>
  </sheets>
  <definedNames>
    <definedName function="false" hidden="true" localSheetId="0" name="_xlnm._FilterDatabase" vbProcedure="false">PurchaseOrders!$A$1:$L$46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<sst xmlns="http://schemas.openxmlformats.org/spreadsheetml/2006/main" count="372" uniqueCount="205">
  <si>
    <t xml:space="preserve">PurchaseOrderID</t>
  </si>
  <si>
    <t xml:space="preserve">VendorID</t>
  </si>
  <si>
    <t xml:space="preserve">ProjectID</t>
  </si>
  <si>
    <t xml:space="preserve">MaterialCategory</t>
  </si>
  <si>
    <t xml:space="preserve">MaterialName</t>
  </si>
  <si>
    <t xml:space="preserve">OrderDate</t>
  </si>
  <si>
    <t xml:space="preserve">DeliveryDate</t>
  </si>
  <si>
    <t xml:space="preserve">Quantity</t>
  </si>
  <si>
    <t xml:space="preserve">UnitCost</t>
  </si>
  <si>
    <t xml:space="preserve">TotalCost</t>
  </si>
  <si>
    <t xml:space="preserve">DeliveryStatus</t>
  </si>
  <si>
    <t xml:space="preserve">DelayDays</t>
  </si>
  <si>
    <t xml:space="preserve">PO001</t>
  </si>
  <si>
    <t xml:space="preserve">VEN001</t>
  </si>
  <si>
    <t xml:space="preserve">PRJ001</t>
  </si>
  <si>
    <t xml:space="preserve">Structural Steel</t>
  </si>
  <si>
    <t xml:space="preserve">Steel Beams</t>
  </si>
  <si>
    <t xml:space="preserve">2023-03-15</t>
  </si>
  <si>
    <t xml:space="preserve">2023-04-10</t>
  </si>
  <si>
    <t xml:space="preserve">Delivered</t>
  </si>
  <si>
    <t xml:space="preserve">PO002</t>
  </si>
  <si>
    <t xml:space="preserve">VEN002</t>
  </si>
  <si>
    <t xml:space="preserve">Concrete</t>
  </si>
  <si>
    <t xml:space="preserve">Ready-Mix Concrete</t>
  </si>
  <si>
    <t xml:space="preserve">2023-03-20</t>
  </si>
  <si>
    <t xml:space="preserve">2023-04-18</t>
  </si>
  <si>
    <t xml:space="preserve">PO003</t>
  </si>
  <si>
    <t xml:space="preserve">VEN003</t>
  </si>
  <si>
    <t xml:space="preserve">Formwork</t>
  </si>
  <si>
    <t xml:space="preserve">Timber Formwork Panels</t>
  </si>
  <si>
    <t xml:space="preserve">2023-04-01</t>
  </si>
  <si>
    <t xml:space="preserve">2023-05-05</t>
  </si>
  <si>
    <t xml:space="preserve">PO004</t>
  </si>
  <si>
    <t xml:space="preserve">VEN004</t>
  </si>
  <si>
    <t xml:space="preserve">PRJ002</t>
  </si>
  <si>
    <t xml:space="preserve">Electrical</t>
  </si>
  <si>
    <t xml:space="preserve">Electrical Panels</t>
  </si>
  <si>
    <t xml:space="preserve">2023-07-01</t>
  </si>
  <si>
    <t xml:space="preserve">2023-08-15</t>
  </si>
  <si>
    <t xml:space="preserve">PO005</t>
  </si>
  <si>
    <t xml:space="preserve">VEN005</t>
  </si>
  <si>
    <t xml:space="preserve">Glazing</t>
  </si>
  <si>
    <t xml:space="preserve">Curtain Wall Glass Units</t>
  </si>
  <si>
    <t xml:space="preserve">2023-07-10</t>
  </si>
  <si>
    <t xml:space="preserve">2023-09-01</t>
  </si>
  <si>
    <t xml:space="preserve">PO006</t>
  </si>
  <si>
    <t xml:space="preserve">VEN006</t>
  </si>
  <si>
    <t xml:space="preserve">HVAC</t>
  </si>
  <si>
    <t xml:space="preserve">Air Handling Units</t>
  </si>
  <si>
    <t xml:space="preserve">2023-08-01</t>
  </si>
  <si>
    <t xml:space="preserve">2023-09-20</t>
  </si>
  <si>
    <t xml:space="preserve">PO007</t>
  </si>
  <si>
    <t xml:space="preserve">VEN007</t>
  </si>
  <si>
    <t xml:space="preserve">PRJ003</t>
  </si>
  <si>
    <t xml:space="preserve">Finishing</t>
  </si>
  <si>
    <t xml:space="preserve">Marble Floor Tiles</t>
  </si>
  <si>
    <t xml:space="preserve">2023-01-20</t>
  </si>
  <si>
    <t xml:space="preserve">2023-03-01</t>
  </si>
  <si>
    <t xml:space="preserve">PO008</t>
  </si>
  <si>
    <t xml:space="preserve">VEN008</t>
  </si>
  <si>
    <t xml:space="preserve">Smart Lighting Systems</t>
  </si>
  <si>
    <t xml:space="preserve">2023-02-01</t>
  </si>
  <si>
    <t xml:space="preserve">PO009</t>
  </si>
  <si>
    <t xml:space="preserve">Steel Columns</t>
  </si>
  <si>
    <t xml:space="preserve">2023-01-15</t>
  </si>
  <si>
    <t xml:space="preserve">2023-02-28</t>
  </si>
  <si>
    <t xml:space="preserve">PO010</t>
  </si>
  <si>
    <t xml:space="preserve">VEN009</t>
  </si>
  <si>
    <t xml:space="preserve">PRJ004</t>
  </si>
  <si>
    <t xml:space="preserve">Precast Concrete Slabs</t>
  </si>
  <si>
    <t xml:space="preserve">2023-09-10</t>
  </si>
  <si>
    <t xml:space="preserve">2023-10-20</t>
  </si>
  <si>
    <t xml:space="preserve">PO011</t>
  </si>
  <si>
    <t xml:space="preserve">Structural Steel Frames</t>
  </si>
  <si>
    <t xml:space="preserve">2023-09-15</t>
  </si>
  <si>
    <t xml:space="preserve">2023-11-01</t>
  </si>
  <si>
    <t xml:space="preserve">In Transit</t>
  </si>
  <si>
    <t xml:space="preserve">PO012</t>
  </si>
  <si>
    <t xml:space="preserve">VEN010</t>
  </si>
  <si>
    <t xml:space="preserve">Waterproofing</t>
  </si>
  <si>
    <t xml:space="preserve">Membrane Waterproofing</t>
  </si>
  <si>
    <t xml:space="preserve">2023-10-01</t>
  </si>
  <si>
    <t xml:space="preserve">2023-11-15</t>
  </si>
  <si>
    <t xml:space="preserve">Pending</t>
  </si>
  <si>
    <t xml:space="preserve">PO013</t>
  </si>
  <si>
    <t xml:space="preserve">PRJ005</t>
  </si>
  <si>
    <t xml:space="preserve">Road Construction</t>
  </si>
  <si>
    <t xml:space="preserve">Asphalt Mix</t>
  </si>
  <si>
    <t xml:space="preserve">2022-11-15</t>
  </si>
  <si>
    <t xml:space="preserve">2023-01-10</t>
  </si>
  <si>
    <t xml:space="preserve">PO014</t>
  </si>
  <si>
    <t xml:space="preserve">VEN011</t>
  </si>
  <si>
    <t xml:space="preserve">Road Kerbs &amp; Drainage</t>
  </si>
  <si>
    <t xml:space="preserve">2022-12-01</t>
  </si>
  <si>
    <t xml:space="preserve">PO015</t>
  </si>
  <si>
    <t xml:space="preserve">Traffic Signal Systems</t>
  </si>
  <si>
    <t xml:space="preserve">PO016</t>
  </si>
  <si>
    <t xml:space="preserve">PRJ006</t>
  </si>
  <si>
    <t xml:space="preserve">Stadium Seating Units</t>
  </si>
  <si>
    <t xml:space="preserve">PO017</t>
  </si>
  <si>
    <t xml:space="preserve">VEN012</t>
  </si>
  <si>
    <t xml:space="preserve">Artificial Turf</t>
  </si>
  <si>
    <t xml:space="preserve">2023-07-15</t>
  </si>
  <si>
    <t xml:space="preserve">2023-08-30</t>
  </si>
  <si>
    <t xml:space="preserve">PO018</t>
  </si>
  <si>
    <t xml:space="preserve">MEP</t>
  </si>
  <si>
    <t xml:space="preserve">Stadium HVAC Systems</t>
  </si>
  <si>
    <t xml:space="preserve">PO019</t>
  </si>
  <si>
    <t xml:space="preserve">PRJ007</t>
  </si>
  <si>
    <t xml:space="preserve">High-Strength Concrete</t>
  </si>
  <si>
    <t xml:space="preserve">2024-01-20</t>
  </si>
  <si>
    <t xml:space="preserve">2024-03-01</t>
  </si>
  <si>
    <t xml:space="preserve">PO020</t>
  </si>
  <si>
    <t xml:space="preserve">VEN013</t>
  </si>
  <si>
    <t xml:space="preserve">Industrial Steel Frames</t>
  </si>
  <si>
    <t xml:space="preserve">2024-02-01</t>
  </si>
  <si>
    <t xml:space="preserve">2024-04-15</t>
  </si>
  <si>
    <t xml:space="preserve">PO021</t>
  </si>
  <si>
    <t xml:space="preserve">Industrial Electrical Cabling</t>
  </si>
  <si>
    <t xml:space="preserve">2024-02-15</t>
  </si>
  <si>
    <t xml:space="preserve">2024-04-01</t>
  </si>
  <si>
    <t xml:space="preserve">PO022</t>
  </si>
  <si>
    <t xml:space="preserve">PRJ008</t>
  </si>
  <si>
    <t xml:space="preserve">Office Fit-Out Partitions</t>
  </si>
  <si>
    <t xml:space="preserve">2023-06-01</t>
  </si>
  <si>
    <t xml:space="preserve">PO023</t>
  </si>
  <si>
    <t xml:space="preserve">Steel Mezzanine Structures</t>
  </si>
  <si>
    <t xml:space="preserve">2023-04-15</t>
  </si>
  <si>
    <t xml:space="preserve">2023-06-10</t>
  </si>
  <si>
    <t xml:space="preserve">PO024</t>
  </si>
  <si>
    <t xml:space="preserve">Low Voltage Systems</t>
  </si>
  <si>
    <t xml:space="preserve">2023-05-01</t>
  </si>
  <si>
    <t xml:space="preserve">PO025</t>
  </si>
  <si>
    <t xml:space="preserve">PRJ009</t>
  </si>
  <si>
    <t xml:space="preserve">Marine</t>
  </si>
  <si>
    <t xml:space="preserve">Precast Concrete Quay Walls</t>
  </si>
  <si>
    <t xml:space="preserve">2023-10-15</t>
  </si>
  <si>
    <t xml:space="preserve">PO026</t>
  </si>
  <si>
    <t xml:space="preserve">Port Steel Gantry Frames</t>
  </si>
  <si>
    <t xml:space="preserve">PO027</t>
  </si>
  <si>
    <t xml:space="preserve">Piling Works Materials</t>
  </si>
  <si>
    <t xml:space="preserve">2024-01-10</t>
  </si>
  <si>
    <t xml:space="preserve">PO028</t>
  </si>
  <si>
    <t xml:space="preserve">PRJ010</t>
  </si>
  <si>
    <t xml:space="preserve">Concrete Blocks</t>
  </si>
  <si>
    <t xml:space="preserve">2024-02-10</t>
  </si>
  <si>
    <t xml:space="preserve">PO029</t>
  </si>
  <si>
    <t xml:space="preserve">External Cladding Panels</t>
  </si>
  <si>
    <t xml:space="preserve">2024-05-15</t>
  </si>
  <si>
    <t xml:space="preserve">PO030</t>
  </si>
  <si>
    <t xml:space="preserve">Plumbing Fixtures</t>
  </si>
  <si>
    <t xml:space="preserve">2024-03-15</t>
  </si>
  <si>
    <t xml:space="preserve">2024-05-01</t>
  </si>
  <si>
    <t xml:space="preserve">PO031</t>
  </si>
  <si>
    <t xml:space="preserve">VEN014</t>
  </si>
  <si>
    <t xml:space="preserve">PRJ011</t>
  </si>
  <si>
    <t xml:space="preserve">Desert Road Base Course</t>
  </si>
  <si>
    <t xml:space="preserve">PO032</t>
  </si>
  <si>
    <t xml:space="preserve">Structural Steel Sections</t>
  </si>
  <si>
    <t xml:space="preserve">2023-12-01</t>
  </si>
  <si>
    <t xml:space="preserve">PO033</t>
  </si>
  <si>
    <t xml:space="preserve">VEN015</t>
  </si>
  <si>
    <t xml:space="preserve">Water Supply Pipeline</t>
  </si>
  <si>
    <t xml:space="preserve">2024-01-01</t>
  </si>
  <si>
    <t xml:space="preserve">PO034</t>
  </si>
  <si>
    <t xml:space="preserve">High Voltage Cables</t>
  </si>
  <si>
    <t xml:space="preserve">PO035</t>
  </si>
  <si>
    <t xml:space="preserve">PRJ012</t>
  </si>
  <si>
    <t xml:space="preserve">Asphalt Pavement Mix</t>
  </si>
  <si>
    <t xml:space="preserve">2023-05-10</t>
  </si>
  <si>
    <t xml:space="preserve">PO036</t>
  </si>
  <si>
    <t xml:space="preserve">VEN016</t>
  </si>
  <si>
    <t xml:space="preserve">Road Signage &amp; Markings</t>
  </si>
  <si>
    <t xml:space="preserve">2023-05-20</t>
  </si>
  <si>
    <t xml:space="preserve">PO037</t>
  </si>
  <si>
    <t xml:space="preserve">PRJ013</t>
  </si>
  <si>
    <t xml:space="preserve">Deep Foundation Steel Piles</t>
  </si>
  <si>
    <t xml:space="preserve">2024-03-10</t>
  </si>
  <si>
    <t xml:space="preserve">2024-06-01</t>
  </si>
  <si>
    <t xml:space="preserve">PO038</t>
  </si>
  <si>
    <t xml:space="preserve">VEN017</t>
  </si>
  <si>
    <t xml:space="preserve">Ultra-High Strength Concrete</t>
  </si>
  <si>
    <t xml:space="preserve">2024-06-15</t>
  </si>
  <si>
    <t xml:space="preserve">PO039</t>
  </si>
  <si>
    <t xml:space="preserve">Foundation Waterproofing System</t>
  </si>
  <si>
    <t xml:space="preserve">2024-07-01</t>
  </si>
  <si>
    <t xml:space="preserve">PO040</t>
  </si>
  <si>
    <t xml:space="preserve">PRJ014</t>
  </si>
  <si>
    <t xml:space="preserve">Concrete Ready Mix</t>
  </si>
  <si>
    <t xml:space="preserve">2024-02-20</t>
  </si>
  <si>
    <t xml:space="preserve">PO041</t>
  </si>
  <si>
    <t xml:space="preserve">VEN018</t>
  </si>
  <si>
    <t xml:space="preserve">Facade Cladding Stone</t>
  </si>
  <si>
    <t xml:space="preserve">PO042</t>
  </si>
  <si>
    <t xml:space="preserve">HVAC Chillers</t>
  </si>
  <si>
    <t xml:space="preserve">PO043</t>
  </si>
  <si>
    <t xml:space="preserve">PRJ015</t>
  </si>
  <si>
    <t xml:space="preserve">Industrial Piping Systems</t>
  </si>
  <si>
    <t xml:space="preserve">2024-01-15</t>
  </si>
  <si>
    <t xml:space="preserve">PO044</t>
  </si>
  <si>
    <t xml:space="preserve">VEN019</t>
  </si>
  <si>
    <t xml:space="preserve">Control &amp; Instrumentation Panels</t>
  </si>
  <si>
    <t xml:space="preserve">PO045</t>
  </si>
  <si>
    <t xml:space="preserve">Equipment Support Steel</t>
  </si>
  <si>
    <t xml:space="preserve">2024-03-20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</si>
</sst>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0"/>
    <col collapsed="false" customWidth="true" hidden="false" outlineLevel="0" max="4" min="4" style="0" width="22"/>
    <col collapsed="false" customWidth="true" hidden="false" outlineLevel="0" max="5" min="5" style="0" width="3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4"/>
    <col collapsed="false" customWidth="true" hidden="false" outlineLevel="0" max="12" min="12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2" t="n">
        <v>120</v>
      </c>
      <c r="I2" s="4" t="n">
        <v>2100</v>
      </c>
      <c r="J2" s="4" t="n">
        <f aca="false">H2*I2</f>
        <v>252000</v>
      </c>
      <c r="K2" s="3" t="s">
        <v>19</v>
      </c>
      <c r="L2" s="2" t="n">
        <v>5</v>
      </c>
    </row>
    <row r="3" customFormat="false" ht="15" hidden="false" customHeight="false" outlineLevel="0" collapsed="false">
      <c r="A3" s="5" t="s">
        <v>20</v>
      </c>
      <c r="B3" s="5" t="s">
        <v>21</v>
      </c>
      <c r="C3" s="5" t="s">
        <v>14</v>
      </c>
      <c r="D3" s="6" t="s">
        <v>22</v>
      </c>
      <c r="E3" s="6" t="s">
        <v>23</v>
      </c>
      <c r="F3" s="6" t="s">
        <v>24</v>
      </c>
      <c r="G3" s="6" t="s">
        <v>25</v>
      </c>
      <c r="H3" s="5" t="n">
        <v>500</v>
      </c>
      <c r="I3" s="7" t="n">
        <v>420</v>
      </c>
      <c r="J3" s="7" t="n">
        <f aca="false">H3*I3</f>
        <v>210000</v>
      </c>
      <c r="K3" s="6" t="s">
        <v>19</v>
      </c>
      <c r="L3" s="5" t="n">
        <v>0</v>
      </c>
    </row>
    <row r="4" customFormat="false" ht="15" hidden="false" customHeight="false" outlineLevel="0" collapsed="false">
      <c r="A4" s="2" t="s">
        <v>26</v>
      </c>
      <c r="B4" s="2" t="s">
        <v>27</v>
      </c>
      <c r="C4" s="2" t="s">
        <v>14</v>
      </c>
      <c r="D4" s="3" t="s">
        <v>28</v>
      </c>
      <c r="E4" s="3" t="s">
        <v>29</v>
      </c>
      <c r="F4" s="3" t="s">
        <v>30</v>
      </c>
      <c r="G4" s="3" t="s">
        <v>31</v>
      </c>
      <c r="H4" s="2" t="n">
        <v>80</v>
      </c>
      <c r="I4" s="4" t="n">
        <v>950</v>
      </c>
      <c r="J4" s="4" t="n">
        <f aca="false">H4*I4</f>
        <v>76000</v>
      </c>
      <c r="K4" s="3" t="s">
        <v>19</v>
      </c>
      <c r="L4" s="2" t="n">
        <v>3</v>
      </c>
    </row>
    <row r="5" customFormat="false" ht="15" hidden="false" customHeight="false" outlineLevel="0" collapsed="false">
      <c r="A5" s="5" t="s">
        <v>32</v>
      </c>
      <c r="B5" s="5" t="s">
        <v>33</v>
      </c>
      <c r="C5" s="5" t="s">
        <v>34</v>
      </c>
      <c r="D5" s="6" t="s">
        <v>35</v>
      </c>
      <c r="E5" s="6" t="s">
        <v>36</v>
      </c>
      <c r="F5" s="6" t="s">
        <v>37</v>
      </c>
      <c r="G5" s="6" t="s">
        <v>38</v>
      </c>
      <c r="H5" s="5" t="n">
        <v>25</v>
      </c>
      <c r="I5" s="7" t="n">
        <v>7200</v>
      </c>
      <c r="J5" s="7" t="n">
        <f aca="false">H5*I5</f>
        <v>180000</v>
      </c>
      <c r="K5" s="6" t="s">
        <v>19</v>
      </c>
      <c r="L5" s="5" t="n">
        <v>0</v>
      </c>
    </row>
    <row r="6" customFormat="false" ht="15" hidden="false" customHeight="false" outlineLevel="0" collapsed="false">
      <c r="A6" s="2" t="s">
        <v>39</v>
      </c>
      <c r="B6" s="2" t="s">
        <v>40</v>
      </c>
      <c r="C6" s="2" t="s">
        <v>34</v>
      </c>
      <c r="D6" s="3" t="s">
        <v>41</v>
      </c>
      <c r="E6" s="3" t="s">
        <v>42</v>
      </c>
      <c r="F6" s="3" t="s">
        <v>43</v>
      </c>
      <c r="G6" s="3" t="s">
        <v>44</v>
      </c>
      <c r="H6" s="2" t="n">
        <v>200</v>
      </c>
      <c r="I6" s="4" t="n">
        <v>1800</v>
      </c>
      <c r="J6" s="4" t="n">
        <f aca="false">H6*I6</f>
        <v>360000</v>
      </c>
      <c r="K6" s="3" t="s">
        <v>19</v>
      </c>
      <c r="L6" s="2" t="n">
        <v>8</v>
      </c>
    </row>
    <row r="7" customFormat="false" ht="15" hidden="false" customHeight="false" outlineLevel="0" collapsed="false">
      <c r="A7" s="5" t="s">
        <v>45</v>
      </c>
      <c r="B7" s="5" t="s">
        <v>46</v>
      </c>
      <c r="C7" s="5" t="s">
        <v>34</v>
      </c>
      <c r="D7" s="6" t="s">
        <v>47</v>
      </c>
      <c r="E7" s="6" t="s">
        <v>48</v>
      </c>
      <c r="F7" s="6" t="s">
        <v>49</v>
      </c>
      <c r="G7" s="6" t="s">
        <v>50</v>
      </c>
      <c r="H7" s="5" t="n">
        <v>10</v>
      </c>
      <c r="I7" s="7" t="n">
        <v>22000</v>
      </c>
      <c r="J7" s="7" t="n">
        <f aca="false">H7*I7</f>
        <v>220000</v>
      </c>
      <c r="K7" s="6" t="s">
        <v>19</v>
      </c>
      <c r="L7" s="5" t="n">
        <v>0</v>
      </c>
    </row>
    <row r="8" customFormat="false" ht="15" hidden="false" customHeight="false" outlineLevel="0" collapsed="false">
      <c r="A8" s="2" t="s">
        <v>51</v>
      </c>
      <c r="B8" s="2" t="s">
        <v>52</v>
      </c>
      <c r="C8" s="2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2" t="n">
        <v>3000</v>
      </c>
      <c r="I8" s="4" t="n">
        <v>85</v>
      </c>
      <c r="J8" s="4" t="n">
        <f aca="false">H8*I8</f>
        <v>255000</v>
      </c>
      <c r="K8" s="3" t="s">
        <v>19</v>
      </c>
      <c r="L8" s="2" t="n">
        <v>12</v>
      </c>
    </row>
    <row r="9" customFormat="false" ht="15" hidden="false" customHeight="false" outlineLevel="0" collapsed="false">
      <c r="A9" s="5" t="s">
        <v>58</v>
      </c>
      <c r="B9" s="5" t="s">
        <v>59</v>
      </c>
      <c r="C9" s="5" t="s">
        <v>53</v>
      </c>
      <c r="D9" s="6" t="s">
        <v>35</v>
      </c>
      <c r="E9" s="6" t="s">
        <v>60</v>
      </c>
      <c r="F9" s="6" t="s">
        <v>61</v>
      </c>
      <c r="G9" s="6" t="s">
        <v>17</v>
      </c>
      <c r="H9" s="5" t="n">
        <v>150</v>
      </c>
      <c r="I9" s="7" t="n">
        <v>3200</v>
      </c>
      <c r="J9" s="7" t="n">
        <f aca="false">H9*I9</f>
        <v>480000</v>
      </c>
      <c r="K9" s="6" t="s">
        <v>19</v>
      </c>
      <c r="L9" s="5" t="n">
        <v>0</v>
      </c>
    </row>
    <row r="10" customFormat="false" ht="15" hidden="false" customHeight="false" outlineLevel="0" collapsed="false">
      <c r="A10" s="2" t="s">
        <v>62</v>
      </c>
      <c r="B10" s="2" t="s">
        <v>13</v>
      </c>
      <c r="C10" s="2" t="s">
        <v>53</v>
      </c>
      <c r="D10" s="3" t="s">
        <v>15</v>
      </c>
      <c r="E10" s="3" t="s">
        <v>63</v>
      </c>
      <c r="F10" s="3" t="s">
        <v>64</v>
      </c>
      <c r="G10" s="3" t="s">
        <v>65</v>
      </c>
      <c r="H10" s="2" t="n">
        <v>60</v>
      </c>
      <c r="I10" s="4" t="n">
        <v>3100</v>
      </c>
      <c r="J10" s="4" t="n">
        <f aca="false">H10*I10</f>
        <v>186000</v>
      </c>
      <c r="K10" s="3" t="s">
        <v>19</v>
      </c>
      <c r="L10" s="2" t="n">
        <v>7</v>
      </c>
    </row>
    <row r="11" customFormat="false" ht="15" hidden="false" customHeight="false" outlineLevel="0" collapsed="false">
      <c r="A11" s="5" t="s">
        <v>66</v>
      </c>
      <c r="B11" s="5" t="s">
        <v>67</v>
      </c>
      <c r="C11" s="5" t="s">
        <v>68</v>
      </c>
      <c r="D11" s="6" t="s">
        <v>22</v>
      </c>
      <c r="E11" s="6" t="s">
        <v>69</v>
      </c>
      <c r="F11" s="6" t="s">
        <v>70</v>
      </c>
      <c r="G11" s="6" t="s">
        <v>71</v>
      </c>
      <c r="H11" s="5" t="n">
        <v>400</v>
      </c>
      <c r="I11" s="7" t="n">
        <v>580</v>
      </c>
      <c r="J11" s="7" t="n">
        <f aca="false">H11*I11</f>
        <v>232000</v>
      </c>
      <c r="K11" s="6" t="s">
        <v>19</v>
      </c>
      <c r="L11" s="5" t="n">
        <v>0</v>
      </c>
    </row>
    <row r="12" customFormat="false" ht="15" hidden="false" customHeight="false" outlineLevel="0" collapsed="false">
      <c r="A12" s="2" t="s">
        <v>72</v>
      </c>
      <c r="B12" s="2" t="s">
        <v>21</v>
      </c>
      <c r="C12" s="2" t="s">
        <v>68</v>
      </c>
      <c r="D12" s="3" t="s">
        <v>15</v>
      </c>
      <c r="E12" s="3" t="s">
        <v>73</v>
      </c>
      <c r="F12" s="3" t="s">
        <v>74</v>
      </c>
      <c r="G12" s="3" t="s">
        <v>75</v>
      </c>
      <c r="H12" s="2" t="n">
        <v>90</v>
      </c>
      <c r="I12" s="4" t="n">
        <v>2400</v>
      </c>
      <c r="J12" s="4" t="n">
        <f aca="false">H12*I12</f>
        <v>216000</v>
      </c>
      <c r="K12" s="3" t="s">
        <v>76</v>
      </c>
      <c r="L12" s="2" t="n">
        <v>4</v>
      </c>
    </row>
    <row r="13" customFormat="false" ht="15" hidden="false" customHeight="false" outlineLevel="0" collapsed="false">
      <c r="A13" s="5" t="s">
        <v>77</v>
      </c>
      <c r="B13" s="5" t="s">
        <v>78</v>
      </c>
      <c r="C13" s="5" t="s">
        <v>68</v>
      </c>
      <c r="D13" s="6" t="s">
        <v>79</v>
      </c>
      <c r="E13" s="6" t="s">
        <v>80</v>
      </c>
      <c r="F13" s="6" t="s">
        <v>81</v>
      </c>
      <c r="G13" s="6" t="s">
        <v>82</v>
      </c>
      <c r="H13" s="5" t="n">
        <v>200</v>
      </c>
      <c r="I13" s="7" t="n">
        <v>650</v>
      </c>
      <c r="J13" s="7" t="n">
        <f aca="false">H13*I13</f>
        <v>130000</v>
      </c>
      <c r="K13" s="6" t="s">
        <v>83</v>
      </c>
      <c r="L13" s="5" t="n">
        <v>0</v>
      </c>
    </row>
    <row r="14" customFormat="false" ht="15" hidden="false" customHeight="false" outlineLevel="0" collapsed="false">
      <c r="A14" s="2" t="s">
        <v>84</v>
      </c>
      <c r="B14" s="2" t="s">
        <v>27</v>
      </c>
      <c r="C14" s="2" t="s">
        <v>85</v>
      </c>
      <c r="D14" s="3" t="s">
        <v>86</v>
      </c>
      <c r="E14" s="3" t="s">
        <v>87</v>
      </c>
      <c r="F14" s="3" t="s">
        <v>88</v>
      </c>
      <c r="G14" s="3" t="s">
        <v>89</v>
      </c>
      <c r="H14" s="2" t="n">
        <v>1200</v>
      </c>
      <c r="I14" s="4" t="n">
        <v>310</v>
      </c>
      <c r="J14" s="4" t="n">
        <f aca="false">H14*I14</f>
        <v>372000</v>
      </c>
      <c r="K14" s="3" t="s">
        <v>19</v>
      </c>
      <c r="L14" s="2" t="n">
        <v>18</v>
      </c>
    </row>
    <row r="15" customFormat="false" ht="15" hidden="false" customHeight="false" outlineLevel="0" collapsed="false">
      <c r="A15" s="5" t="s">
        <v>90</v>
      </c>
      <c r="B15" s="5" t="s">
        <v>91</v>
      </c>
      <c r="C15" s="5" t="s">
        <v>85</v>
      </c>
      <c r="D15" s="6" t="s">
        <v>86</v>
      </c>
      <c r="E15" s="6" t="s">
        <v>92</v>
      </c>
      <c r="F15" s="6" t="s">
        <v>93</v>
      </c>
      <c r="G15" s="6" t="s">
        <v>61</v>
      </c>
      <c r="H15" s="5" t="n">
        <v>800</v>
      </c>
      <c r="I15" s="7" t="n">
        <v>270</v>
      </c>
      <c r="J15" s="7" t="n">
        <f aca="false">H15*I15</f>
        <v>216000</v>
      </c>
      <c r="K15" s="6" t="s">
        <v>19</v>
      </c>
      <c r="L15" s="5" t="n">
        <v>22</v>
      </c>
    </row>
    <row r="16" customFormat="false" ht="15" hidden="false" customHeight="false" outlineLevel="0" collapsed="false">
      <c r="A16" s="2" t="s">
        <v>94</v>
      </c>
      <c r="B16" s="2" t="s">
        <v>33</v>
      </c>
      <c r="C16" s="2" t="s">
        <v>85</v>
      </c>
      <c r="D16" s="3" t="s">
        <v>35</v>
      </c>
      <c r="E16" s="3" t="s">
        <v>95</v>
      </c>
      <c r="F16" s="3" t="s">
        <v>89</v>
      </c>
      <c r="G16" s="3" t="s">
        <v>24</v>
      </c>
      <c r="H16" s="2" t="n">
        <v>30</v>
      </c>
      <c r="I16" s="4" t="n">
        <v>14500</v>
      </c>
      <c r="J16" s="4" t="n">
        <f aca="false">H16*I16</f>
        <v>435000</v>
      </c>
      <c r="K16" s="3" t="s">
        <v>19</v>
      </c>
      <c r="L16" s="2" t="n">
        <v>0</v>
      </c>
    </row>
    <row r="17" customFormat="false" ht="15" hidden="false" customHeight="false" outlineLevel="0" collapsed="false">
      <c r="A17" s="5" t="s">
        <v>96</v>
      </c>
      <c r="B17" s="5" t="s">
        <v>40</v>
      </c>
      <c r="C17" s="5" t="s">
        <v>97</v>
      </c>
      <c r="D17" s="6" t="s">
        <v>54</v>
      </c>
      <c r="E17" s="6" t="s">
        <v>98</v>
      </c>
      <c r="F17" s="6" t="s">
        <v>43</v>
      </c>
      <c r="G17" s="6" t="s">
        <v>44</v>
      </c>
      <c r="H17" s="5" t="n">
        <v>8000</v>
      </c>
      <c r="I17" s="7" t="n">
        <v>320</v>
      </c>
      <c r="J17" s="7" t="n">
        <f aca="false">H17*I17</f>
        <v>2560000</v>
      </c>
      <c r="K17" s="6" t="s">
        <v>19</v>
      </c>
      <c r="L17" s="5" t="n">
        <v>0</v>
      </c>
    </row>
    <row r="18" customFormat="false" ht="15" hidden="false" customHeight="false" outlineLevel="0" collapsed="false">
      <c r="A18" s="2" t="s">
        <v>99</v>
      </c>
      <c r="B18" s="2" t="s">
        <v>100</v>
      </c>
      <c r="C18" s="2" t="s">
        <v>97</v>
      </c>
      <c r="D18" s="3" t="s">
        <v>54</v>
      </c>
      <c r="E18" s="3" t="s">
        <v>101</v>
      </c>
      <c r="F18" s="3" t="s">
        <v>102</v>
      </c>
      <c r="G18" s="3" t="s">
        <v>103</v>
      </c>
      <c r="H18" s="2" t="n">
        <v>6000</v>
      </c>
      <c r="I18" s="4" t="n">
        <v>95</v>
      </c>
      <c r="J18" s="4" t="n">
        <f aca="false">H18*I18</f>
        <v>570000</v>
      </c>
      <c r="K18" s="3" t="s">
        <v>19</v>
      </c>
      <c r="L18" s="2" t="n">
        <v>6</v>
      </c>
    </row>
    <row r="19" customFormat="false" ht="15" hidden="false" customHeight="false" outlineLevel="0" collapsed="false">
      <c r="A19" s="5" t="s">
        <v>104</v>
      </c>
      <c r="B19" s="5" t="s">
        <v>46</v>
      </c>
      <c r="C19" s="5" t="s">
        <v>97</v>
      </c>
      <c r="D19" s="6" t="s">
        <v>105</v>
      </c>
      <c r="E19" s="6" t="s">
        <v>106</v>
      </c>
      <c r="F19" s="6" t="s">
        <v>49</v>
      </c>
      <c r="G19" s="6" t="s">
        <v>74</v>
      </c>
      <c r="H19" s="5" t="n">
        <v>8</v>
      </c>
      <c r="I19" s="7" t="n">
        <v>85000</v>
      </c>
      <c r="J19" s="7" t="n">
        <f aca="false">H19*I19</f>
        <v>680000</v>
      </c>
      <c r="K19" s="6" t="s">
        <v>19</v>
      </c>
      <c r="L19" s="5" t="n">
        <v>0</v>
      </c>
    </row>
    <row r="20" customFormat="false" ht="15" hidden="false" customHeight="false" outlineLevel="0" collapsed="false">
      <c r="A20" s="2" t="s">
        <v>107</v>
      </c>
      <c r="B20" s="2" t="s">
        <v>52</v>
      </c>
      <c r="C20" s="2" t="s">
        <v>108</v>
      </c>
      <c r="D20" s="3" t="s">
        <v>22</v>
      </c>
      <c r="E20" s="3" t="s">
        <v>109</v>
      </c>
      <c r="F20" s="3" t="s">
        <v>110</v>
      </c>
      <c r="G20" s="3" t="s">
        <v>111</v>
      </c>
      <c r="H20" s="2" t="n">
        <v>800</v>
      </c>
      <c r="I20" s="4" t="n">
        <v>470</v>
      </c>
      <c r="J20" s="4" t="n">
        <f aca="false">H20*I20</f>
        <v>376000</v>
      </c>
      <c r="K20" s="3" t="s">
        <v>19</v>
      </c>
      <c r="L20" s="2" t="n">
        <v>0</v>
      </c>
    </row>
    <row r="21" customFormat="false" ht="15" hidden="false" customHeight="false" outlineLevel="0" collapsed="false">
      <c r="A21" s="5" t="s">
        <v>112</v>
      </c>
      <c r="B21" s="5" t="s">
        <v>113</v>
      </c>
      <c r="C21" s="5" t="s">
        <v>108</v>
      </c>
      <c r="D21" s="6" t="s">
        <v>15</v>
      </c>
      <c r="E21" s="6" t="s">
        <v>114</v>
      </c>
      <c r="F21" s="6" t="s">
        <v>115</v>
      </c>
      <c r="G21" s="6" t="s">
        <v>116</v>
      </c>
      <c r="H21" s="5" t="n">
        <v>150</v>
      </c>
      <c r="I21" s="7" t="n">
        <v>2800</v>
      </c>
      <c r="J21" s="7" t="n">
        <f aca="false">H21*I21</f>
        <v>420000</v>
      </c>
      <c r="K21" s="6" t="s">
        <v>76</v>
      </c>
      <c r="L21" s="5" t="n">
        <v>9</v>
      </c>
    </row>
    <row r="22" customFormat="false" ht="15" hidden="false" customHeight="false" outlineLevel="0" collapsed="false">
      <c r="A22" s="2" t="s">
        <v>117</v>
      </c>
      <c r="B22" s="2" t="s">
        <v>59</v>
      </c>
      <c r="C22" s="2" t="s">
        <v>108</v>
      </c>
      <c r="D22" s="3" t="s">
        <v>105</v>
      </c>
      <c r="E22" s="3" t="s">
        <v>118</v>
      </c>
      <c r="F22" s="3" t="s">
        <v>119</v>
      </c>
      <c r="G22" s="3" t="s">
        <v>120</v>
      </c>
      <c r="H22" s="2" t="n">
        <v>500</v>
      </c>
      <c r="I22" s="4" t="n">
        <v>980</v>
      </c>
      <c r="J22" s="4" t="n">
        <f aca="false">H22*I22</f>
        <v>490000</v>
      </c>
      <c r="K22" s="3" t="s">
        <v>83</v>
      </c>
      <c r="L22" s="2" t="n">
        <v>0</v>
      </c>
    </row>
    <row r="23" customFormat="false" ht="15" hidden="false" customHeight="false" outlineLevel="0" collapsed="false">
      <c r="A23" s="5" t="s">
        <v>121</v>
      </c>
      <c r="B23" s="5" t="s">
        <v>67</v>
      </c>
      <c r="C23" s="5" t="s">
        <v>122</v>
      </c>
      <c r="D23" s="6" t="s">
        <v>54</v>
      </c>
      <c r="E23" s="6" t="s">
        <v>123</v>
      </c>
      <c r="F23" s="6" t="s">
        <v>18</v>
      </c>
      <c r="G23" s="6" t="s">
        <v>124</v>
      </c>
      <c r="H23" s="5" t="n">
        <v>300</v>
      </c>
      <c r="I23" s="7" t="n">
        <v>750</v>
      </c>
      <c r="J23" s="7" t="n">
        <f aca="false">H23*I23</f>
        <v>225000</v>
      </c>
      <c r="K23" s="6" t="s">
        <v>19</v>
      </c>
      <c r="L23" s="5" t="n">
        <v>14</v>
      </c>
    </row>
    <row r="24" customFormat="false" ht="15" hidden="false" customHeight="false" outlineLevel="0" collapsed="false">
      <c r="A24" s="2" t="s">
        <v>125</v>
      </c>
      <c r="B24" s="2" t="s">
        <v>13</v>
      </c>
      <c r="C24" s="2" t="s">
        <v>122</v>
      </c>
      <c r="D24" s="3" t="s">
        <v>15</v>
      </c>
      <c r="E24" s="3" t="s">
        <v>126</v>
      </c>
      <c r="F24" s="3" t="s">
        <v>127</v>
      </c>
      <c r="G24" s="3" t="s">
        <v>128</v>
      </c>
      <c r="H24" s="2" t="n">
        <v>40</v>
      </c>
      <c r="I24" s="4" t="n">
        <v>3800</v>
      </c>
      <c r="J24" s="4" t="n">
        <f aca="false">H24*I24</f>
        <v>152000</v>
      </c>
      <c r="K24" s="3" t="s">
        <v>19</v>
      </c>
      <c r="L24" s="2" t="n">
        <v>0</v>
      </c>
    </row>
    <row r="25" customFormat="false" ht="15" hidden="false" customHeight="false" outlineLevel="0" collapsed="false">
      <c r="A25" s="5" t="s">
        <v>129</v>
      </c>
      <c r="B25" s="5" t="s">
        <v>78</v>
      </c>
      <c r="C25" s="5" t="s">
        <v>122</v>
      </c>
      <c r="D25" s="6" t="s">
        <v>35</v>
      </c>
      <c r="E25" s="6" t="s">
        <v>130</v>
      </c>
      <c r="F25" s="6" t="s">
        <v>131</v>
      </c>
      <c r="G25" s="6" t="s">
        <v>37</v>
      </c>
      <c r="H25" s="5" t="n">
        <v>1</v>
      </c>
      <c r="I25" s="7" t="n">
        <v>185000</v>
      </c>
      <c r="J25" s="7" t="n">
        <f aca="false">H25*I25</f>
        <v>185000</v>
      </c>
      <c r="K25" s="6" t="s">
        <v>19</v>
      </c>
      <c r="L25" s="5" t="n">
        <v>5</v>
      </c>
    </row>
    <row r="26" customFormat="false" ht="15" hidden="false" customHeight="false" outlineLevel="0" collapsed="false">
      <c r="A26" s="2" t="s">
        <v>132</v>
      </c>
      <c r="B26" s="2" t="s">
        <v>91</v>
      </c>
      <c r="C26" s="2" t="s">
        <v>133</v>
      </c>
      <c r="D26" s="3" t="s">
        <v>134</v>
      </c>
      <c r="E26" s="3" t="s">
        <v>135</v>
      </c>
      <c r="F26" s="3" t="s">
        <v>136</v>
      </c>
      <c r="G26" s="3" t="s">
        <v>110</v>
      </c>
      <c r="H26" s="2" t="n">
        <v>600</v>
      </c>
      <c r="I26" s="4" t="n">
        <v>1200</v>
      </c>
      <c r="J26" s="4" t="n">
        <f aca="false">H26*I26</f>
        <v>720000</v>
      </c>
      <c r="K26" s="3" t="s">
        <v>76</v>
      </c>
      <c r="L26" s="2" t="n">
        <v>0</v>
      </c>
    </row>
    <row r="27" customFormat="false" ht="15" hidden="false" customHeight="false" outlineLevel="0" collapsed="false">
      <c r="A27" s="5" t="s">
        <v>137</v>
      </c>
      <c r="B27" s="5" t="s">
        <v>21</v>
      </c>
      <c r="C27" s="5" t="s">
        <v>133</v>
      </c>
      <c r="D27" s="6" t="s">
        <v>15</v>
      </c>
      <c r="E27" s="6" t="s">
        <v>138</v>
      </c>
      <c r="F27" s="6" t="s">
        <v>75</v>
      </c>
      <c r="G27" s="6" t="s">
        <v>119</v>
      </c>
      <c r="H27" s="5" t="n">
        <v>25</v>
      </c>
      <c r="I27" s="7" t="n">
        <v>48000</v>
      </c>
      <c r="J27" s="7" t="n">
        <f aca="false">H27*I27</f>
        <v>1200000</v>
      </c>
      <c r="K27" s="6" t="s">
        <v>83</v>
      </c>
      <c r="L27" s="5" t="n">
        <v>0</v>
      </c>
    </row>
    <row r="28" customFormat="false" ht="15" hidden="false" customHeight="false" outlineLevel="0" collapsed="false">
      <c r="A28" s="2" t="s">
        <v>139</v>
      </c>
      <c r="B28" s="2" t="s">
        <v>100</v>
      </c>
      <c r="C28" s="2" t="s">
        <v>133</v>
      </c>
      <c r="D28" s="3" t="s">
        <v>134</v>
      </c>
      <c r="E28" s="3" t="s">
        <v>140</v>
      </c>
      <c r="F28" s="3" t="s">
        <v>71</v>
      </c>
      <c r="G28" s="3" t="s">
        <v>141</v>
      </c>
      <c r="H28" s="2" t="n">
        <v>200</v>
      </c>
      <c r="I28" s="4" t="n">
        <v>4200</v>
      </c>
      <c r="J28" s="4" t="n">
        <f aca="false">H28*I28</f>
        <v>840000</v>
      </c>
      <c r="K28" s="3" t="s">
        <v>76</v>
      </c>
      <c r="L28" s="2" t="n">
        <v>11</v>
      </c>
    </row>
    <row r="29" customFormat="false" ht="15" hidden="false" customHeight="false" outlineLevel="0" collapsed="false">
      <c r="A29" s="5" t="s">
        <v>142</v>
      </c>
      <c r="B29" s="5" t="s">
        <v>113</v>
      </c>
      <c r="C29" s="5" t="s">
        <v>143</v>
      </c>
      <c r="D29" s="6" t="s">
        <v>22</v>
      </c>
      <c r="E29" s="6" t="s">
        <v>144</v>
      </c>
      <c r="F29" s="6" t="s">
        <v>145</v>
      </c>
      <c r="G29" s="6" t="s">
        <v>120</v>
      </c>
      <c r="H29" s="5" t="n">
        <v>600</v>
      </c>
      <c r="I29" s="7" t="n">
        <v>180</v>
      </c>
      <c r="J29" s="7" t="n">
        <f aca="false">H29*I29</f>
        <v>108000</v>
      </c>
      <c r="K29" s="6" t="s">
        <v>19</v>
      </c>
      <c r="L29" s="5" t="n">
        <v>0</v>
      </c>
    </row>
    <row r="30" customFormat="false" ht="15" hidden="false" customHeight="false" outlineLevel="0" collapsed="false">
      <c r="A30" s="2" t="s">
        <v>146</v>
      </c>
      <c r="B30" s="2" t="s">
        <v>27</v>
      </c>
      <c r="C30" s="2" t="s">
        <v>143</v>
      </c>
      <c r="D30" s="3" t="s">
        <v>54</v>
      </c>
      <c r="E30" s="3" t="s">
        <v>147</v>
      </c>
      <c r="F30" s="3" t="s">
        <v>111</v>
      </c>
      <c r="G30" s="3" t="s">
        <v>148</v>
      </c>
      <c r="H30" s="2" t="n">
        <v>1200</v>
      </c>
      <c r="I30" s="4" t="n">
        <v>420</v>
      </c>
      <c r="J30" s="4" t="n">
        <f aca="false">H30*I30</f>
        <v>504000</v>
      </c>
      <c r="K30" s="3" t="s">
        <v>76</v>
      </c>
      <c r="L30" s="2" t="n">
        <v>0</v>
      </c>
    </row>
    <row r="31" customFormat="false" ht="15" hidden="false" customHeight="false" outlineLevel="0" collapsed="false">
      <c r="A31" s="5" t="s">
        <v>149</v>
      </c>
      <c r="B31" s="5" t="s">
        <v>33</v>
      </c>
      <c r="C31" s="5" t="s">
        <v>143</v>
      </c>
      <c r="D31" s="6" t="s">
        <v>105</v>
      </c>
      <c r="E31" s="6" t="s">
        <v>150</v>
      </c>
      <c r="F31" s="6" t="s">
        <v>151</v>
      </c>
      <c r="G31" s="6" t="s">
        <v>152</v>
      </c>
      <c r="H31" s="5" t="n">
        <v>400</v>
      </c>
      <c r="I31" s="7" t="n">
        <v>380</v>
      </c>
      <c r="J31" s="7" t="n">
        <f aca="false">H31*I31</f>
        <v>152000</v>
      </c>
      <c r="K31" s="6" t="s">
        <v>83</v>
      </c>
      <c r="L31" s="5" t="n">
        <v>0</v>
      </c>
    </row>
    <row r="32" customFormat="false" ht="15" hidden="false" customHeight="false" outlineLevel="0" collapsed="false">
      <c r="A32" s="2" t="s">
        <v>153</v>
      </c>
      <c r="B32" s="2" t="s">
        <v>154</v>
      </c>
      <c r="C32" s="2" t="s">
        <v>155</v>
      </c>
      <c r="D32" s="3" t="s">
        <v>86</v>
      </c>
      <c r="E32" s="3" t="s">
        <v>156</v>
      </c>
      <c r="F32" s="3" t="s">
        <v>44</v>
      </c>
      <c r="G32" s="3" t="s">
        <v>82</v>
      </c>
      <c r="H32" s="2" t="n">
        <v>5000</v>
      </c>
      <c r="I32" s="4" t="n">
        <v>280</v>
      </c>
      <c r="J32" s="4" t="n">
        <f aca="false">H32*I32</f>
        <v>1400000</v>
      </c>
      <c r="K32" s="3" t="s">
        <v>19</v>
      </c>
      <c r="L32" s="2" t="n">
        <v>21</v>
      </c>
    </row>
    <row r="33" customFormat="false" ht="15" hidden="false" customHeight="false" outlineLevel="0" collapsed="false">
      <c r="A33" s="5" t="s">
        <v>157</v>
      </c>
      <c r="B33" s="5" t="s">
        <v>13</v>
      </c>
      <c r="C33" s="5" t="s">
        <v>155</v>
      </c>
      <c r="D33" s="6" t="s">
        <v>15</v>
      </c>
      <c r="E33" s="6" t="s">
        <v>158</v>
      </c>
      <c r="F33" s="6" t="s">
        <v>74</v>
      </c>
      <c r="G33" s="6" t="s">
        <v>159</v>
      </c>
      <c r="H33" s="5" t="n">
        <v>300</v>
      </c>
      <c r="I33" s="7" t="n">
        <v>2600</v>
      </c>
      <c r="J33" s="7" t="n">
        <f aca="false">H33*I33</f>
        <v>780000</v>
      </c>
      <c r="K33" s="6" t="s">
        <v>19</v>
      </c>
      <c r="L33" s="5" t="n">
        <v>9</v>
      </c>
    </row>
    <row r="34" customFormat="false" ht="15" hidden="false" customHeight="false" outlineLevel="0" collapsed="false">
      <c r="A34" s="2" t="s">
        <v>160</v>
      </c>
      <c r="B34" s="2" t="s">
        <v>161</v>
      </c>
      <c r="C34" s="2" t="s">
        <v>155</v>
      </c>
      <c r="D34" s="3" t="s">
        <v>105</v>
      </c>
      <c r="E34" s="3" t="s">
        <v>162</v>
      </c>
      <c r="F34" s="3" t="s">
        <v>81</v>
      </c>
      <c r="G34" s="3" t="s">
        <v>163</v>
      </c>
      <c r="H34" s="2" t="n">
        <v>2000</v>
      </c>
      <c r="I34" s="4" t="n">
        <v>650</v>
      </c>
      <c r="J34" s="4" t="n">
        <f aca="false">H34*I34</f>
        <v>1300000</v>
      </c>
      <c r="K34" s="3" t="s">
        <v>76</v>
      </c>
      <c r="L34" s="2" t="n">
        <v>0</v>
      </c>
    </row>
    <row r="35" customFormat="false" ht="15" hidden="false" customHeight="false" outlineLevel="0" collapsed="false">
      <c r="A35" s="5" t="s">
        <v>164</v>
      </c>
      <c r="B35" s="5" t="s">
        <v>40</v>
      </c>
      <c r="C35" s="5" t="s">
        <v>155</v>
      </c>
      <c r="D35" s="6" t="s">
        <v>35</v>
      </c>
      <c r="E35" s="6" t="s">
        <v>165</v>
      </c>
      <c r="F35" s="6" t="s">
        <v>75</v>
      </c>
      <c r="G35" s="6" t="s">
        <v>115</v>
      </c>
      <c r="H35" s="5" t="n">
        <v>1000</v>
      </c>
      <c r="I35" s="7" t="n">
        <v>1100</v>
      </c>
      <c r="J35" s="7" t="n">
        <f aca="false">H35*I35</f>
        <v>1100000</v>
      </c>
      <c r="K35" s="6" t="s">
        <v>83</v>
      </c>
      <c r="L35" s="5" t="n">
        <v>0</v>
      </c>
    </row>
    <row r="36" customFormat="false" ht="15" hidden="false" customHeight="false" outlineLevel="0" collapsed="false">
      <c r="A36" s="2" t="s">
        <v>166</v>
      </c>
      <c r="B36" s="2" t="s">
        <v>46</v>
      </c>
      <c r="C36" s="2" t="s">
        <v>167</v>
      </c>
      <c r="D36" s="3" t="s">
        <v>86</v>
      </c>
      <c r="E36" s="3" t="s">
        <v>168</v>
      </c>
      <c r="F36" s="3" t="s">
        <v>169</v>
      </c>
      <c r="G36" s="3" t="s">
        <v>37</v>
      </c>
      <c r="H36" s="2" t="n">
        <v>900</v>
      </c>
      <c r="I36" s="4" t="n">
        <v>310</v>
      </c>
      <c r="J36" s="4" t="n">
        <f aca="false">H36*I36</f>
        <v>279000</v>
      </c>
      <c r="K36" s="3" t="s">
        <v>19</v>
      </c>
      <c r="L36" s="2" t="n">
        <v>0</v>
      </c>
    </row>
    <row r="37" customFormat="false" ht="15" hidden="false" customHeight="false" outlineLevel="0" collapsed="false">
      <c r="A37" s="5" t="s">
        <v>170</v>
      </c>
      <c r="B37" s="5" t="s">
        <v>171</v>
      </c>
      <c r="C37" s="5" t="s">
        <v>167</v>
      </c>
      <c r="D37" s="6" t="s">
        <v>86</v>
      </c>
      <c r="E37" s="6" t="s">
        <v>172</v>
      </c>
      <c r="F37" s="6" t="s">
        <v>173</v>
      </c>
      <c r="G37" s="6" t="s">
        <v>43</v>
      </c>
      <c r="H37" s="5" t="n">
        <v>1</v>
      </c>
      <c r="I37" s="7" t="n">
        <v>95000</v>
      </c>
      <c r="J37" s="7" t="n">
        <f aca="false">H37*I37</f>
        <v>95000</v>
      </c>
      <c r="K37" s="6" t="s">
        <v>19</v>
      </c>
      <c r="L37" s="5" t="n">
        <v>0</v>
      </c>
    </row>
    <row r="38" customFormat="false" ht="15" hidden="false" customHeight="false" outlineLevel="0" collapsed="false">
      <c r="A38" s="2" t="s">
        <v>174</v>
      </c>
      <c r="B38" s="2" t="s">
        <v>52</v>
      </c>
      <c r="C38" s="2" t="s">
        <v>175</v>
      </c>
      <c r="D38" s="3" t="s">
        <v>15</v>
      </c>
      <c r="E38" s="3" t="s">
        <v>176</v>
      </c>
      <c r="F38" s="3" t="s">
        <v>177</v>
      </c>
      <c r="G38" s="3" t="s">
        <v>178</v>
      </c>
      <c r="H38" s="2" t="n">
        <v>200</v>
      </c>
      <c r="I38" s="4" t="n">
        <v>8500</v>
      </c>
      <c r="J38" s="4" t="n">
        <f aca="false">H38*I38</f>
        <v>1700000</v>
      </c>
      <c r="K38" s="3" t="s">
        <v>76</v>
      </c>
      <c r="L38" s="2" t="n">
        <v>0</v>
      </c>
    </row>
    <row r="39" customFormat="false" ht="15" hidden="false" customHeight="false" outlineLevel="0" collapsed="false">
      <c r="A39" s="5" t="s">
        <v>179</v>
      </c>
      <c r="B39" s="5" t="s">
        <v>180</v>
      </c>
      <c r="C39" s="5" t="s">
        <v>175</v>
      </c>
      <c r="D39" s="6" t="s">
        <v>22</v>
      </c>
      <c r="E39" s="6" t="s">
        <v>181</v>
      </c>
      <c r="F39" s="6" t="s">
        <v>151</v>
      </c>
      <c r="G39" s="6" t="s">
        <v>182</v>
      </c>
      <c r="H39" s="5" t="n">
        <v>1000</v>
      </c>
      <c r="I39" s="7" t="n">
        <v>890</v>
      </c>
      <c r="J39" s="7" t="n">
        <f aca="false">H39*I39</f>
        <v>890000</v>
      </c>
      <c r="K39" s="6" t="s">
        <v>83</v>
      </c>
      <c r="L39" s="5" t="n">
        <v>0</v>
      </c>
    </row>
    <row r="40" customFormat="false" ht="15" hidden="false" customHeight="false" outlineLevel="0" collapsed="false">
      <c r="A40" s="2" t="s">
        <v>183</v>
      </c>
      <c r="B40" s="2" t="s">
        <v>59</v>
      </c>
      <c r="C40" s="2" t="s">
        <v>175</v>
      </c>
      <c r="D40" s="3" t="s">
        <v>79</v>
      </c>
      <c r="E40" s="3" t="s">
        <v>184</v>
      </c>
      <c r="F40" s="3" t="s">
        <v>120</v>
      </c>
      <c r="G40" s="3" t="s">
        <v>185</v>
      </c>
      <c r="H40" s="2" t="n">
        <v>500</v>
      </c>
      <c r="I40" s="4" t="n">
        <v>720</v>
      </c>
      <c r="J40" s="4" t="n">
        <f aca="false">H40*I40</f>
        <v>360000</v>
      </c>
      <c r="K40" s="3" t="s">
        <v>83</v>
      </c>
      <c r="L40" s="2" t="n">
        <v>0</v>
      </c>
    </row>
    <row r="41" customFormat="false" ht="15" hidden="false" customHeight="false" outlineLevel="0" collapsed="false">
      <c r="A41" s="5" t="s">
        <v>186</v>
      </c>
      <c r="B41" s="5" t="s">
        <v>67</v>
      </c>
      <c r="C41" s="5" t="s">
        <v>187</v>
      </c>
      <c r="D41" s="6" t="s">
        <v>22</v>
      </c>
      <c r="E41" s="6" t="s">
        <v>188</v>
      </c>
      <c r="F41" s="6" t="s">
        <v>141</v>
      </c>
      <c r="G41" s="6" t="s">
        <v>189</v>
      </c>
      <c r="H41" s="5" t="n">
        <v>700</v>
      </c>
      <c r="I41" s="7" t="n">
        <v>430</v>
      </c>
      <c r="J41" s="7" t="n">
        <f aca="false">H41*I41</f>
        <v>301000</v>
      </c>
      <c r="K41" s="6" t="s">
        <v>19</v>
      </c>
      <c r="L41" s="5" t="n">
        <v>7</v>
      </c>
    </row>
    <row r="42" customFormat="false" ht="15" hidden="false" customHeight="false" outlineLevel="0" collapsed="false">
      <c r="A42" s="2" t="s">
        <v>190</v>
      </c>
      <c r="B42" s="2" t="s">
        <v>191</v>
      </c>
      <c r="C42" s="2" t="s">
        <v>187</v>
      </c>
      <c r="D42" s="3" t="s">
        <v>54</v>
      </c>
      <c r="E42" s="3" t="s">
        <v>192</v>
      </c>
      <c r="F42" s="3" t="s">
        <v>110</v>
      </c>
      <c r="G42" s="3" t="s">
        <v>151</v>
      </c>
      <c r="H42" s="2" t="n">
        <v>2500</v>
      </c>
      <c r="I42" s="4" t="n">
        <v>560</v>
      </c>
      <c r="J42" s="4" t="n">
        <f aca="false">H42*I42</f>
        <v>1400000</v>
      </c>
      <c r="K42" s="3" t="s">
        <v>76</v>
      </c>
      <c r="L42" s="2" t="n">
        <v>15</v>
      </c>
    </row>
    <row r="43" customFormat="false" ht="15" hidden="false" customHeight="false" outlineLevel="0" collapsed="false">
      <c r="A43" s="5" t="s">
        <v>193</v>
      </c>
      <c r="B43" s="5" t="s">
        <v>78</v>
      </c>
      <c r="C43" s="5" t="s">
        <v>187</v>
      </c>
      <c r="D43" s="6" t="s">
        <v>105</v>
      </c>
      <c r="E43" s="6" t="s">
        <v>194</v>
      </c>
      <c r="F43" s="6" t="s">
        <v>115</v>
      </c>
      <c r="G43" s="6" t="s">
        <v>120</v>
      </c>
      <c r="H43" s="5" t="n">
        <v>4</v>
      </c>
      <c r="I43" s="7" t="n">
        <v>68000</v>
      </c>
      <c r="J43" s="7" t="n">
        <f aca="false">H43*I43</f>
        <v>272000</v>
      </c>
      <c r="K43" s="6" t="s">
        <v>83</v>
      </c>
      <c r="L43" s="5" t="n">
        <v>0</v>
      </c>
    </row>
    <row r="44" customFormat="false" ht="15" hidden="false" customHeight="false" outlineLevel="0" collapsed="false">
      <c r="A44" s="2" t="s">
        <v>195</v>
      </c>
      <c r="B44" s="2" t="s">
        <v>91</v>
      </c>
      <c r="C44" s="2" t="s">
        <v>196</v>
      </c>
      <c r="D44" s="3" t="s">
        <v>105</v>
      </c>
      <c r="E44" s="3" t="s">
        <v>197</v>
      </c>
      <c r="F44" s="3" t="s">
        <v>198</v>
      </c>
      <c r="G44" s="3" t="s">
        <v>111</v>
      </c>
      <c r="H44" s="2" t="n">
        <v>800</v>
      </c>
      <c r="I44" s="4" t="n">
        <v>870</v>
      </c>
      <c r="J44" s="4" t="n">
        <f aca="false">H44*I44</f>
        <v>696000</v>
      </c>
      <c r="K44" s="3" t="s">
        <v>19</v>
      </c>
      <c r="L44" s="2" t="n">
        <v>0</v>
      </c>
    </row>
    <row r="45" customFormat="false" ht="15" hidden="false" customHeight="false" outlineLevel="0" collapsed="false">
      <c r="A45" s="5" t="s">
        <v>199</v>
      </c>
      <c r="B45" s="5" t="s">
        <v>200</v>
      </c>
      <c r="C45" s="5" t="s">
        <v>196</v>
      </c>
      <c r="D45" s="6" t="s">
        <v>35</v>
      </c>
      <c r="E45" s="6" t="s">
        <v>201</v>
      </c>
      <c r="F45" s="6" t="s">
        <v>110</v>
      </c>
      <c r="G45" s="6" t="s">
        <v>177</v>
      </c>
      <c r="H45" s="5" t="n">
        <v>12</v>
      </c>
      <c r="I45" s="7" t="n">
        <v>28000</v>
      </c>
      <c r="J45" s="7" t="n">
        <f aca="false">H45*I45</f>
        <v>336000</v>
      </c>
      <c r="K45" s="6" t="s">
        <v>19</v>
      </c>
      <c r="L45" s="5" t="n">
        <v>0</v>
      </c>
    </row>
    <row r="46" customFormat="false" ht="15" hidden="false" customHeight="false" outlineLevel="0" collapsed="false">
      <c r="A46" s="2" t="s">
        <v>202</v>
      </c>
      <c r="B46" s="2" t="s">
        <v>100</v>
      </c>
      <c r="C46" s="2" t="s">
        <v>196</v>
      </c>
      <c r="D46" s="3" t="s">
        <v>15</v>
      </c>
      <c r="E46" s="3" t="s">
        <v>203</v>
      </c>
      <c r="F46" s="3" t="s">
        <v>115</v>
      </c>
      <c r="G46" s="3" t="s">
        <v>204</v>
      </c>
      <c r="H46" s="2" t="n">
        <v>45</v>
      </c>
      <c r="I46" s="4" t="n">
        <v>3200</v>
      </c>
      <c r="J46" s="4" t="n">
        <f aca="false">H46*I46</f>
        <v>144000</v>
      </c>
      <c r="K46" s="3" t="s">
        <v>19</v>
      </c>
      <c r="L46" s="2" t="n">
        <v>3</v>
      </c>
    </row>
  </sheetData>
  <autoFilter ref="A1:L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2026-05-17T11:43:00Z</dcterms:created>
  <dc:creator>openpyxl</dc:creator>
  <dc:description/>
  <dc:language>en-US</dc:language>
  <cp:lastModifiedBy/>
  <dcterms:modified xsi:type="dcterms:W3CDTF">2026-05-17T11:43:00Z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